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202300"/>
  <mc:AlternateContent xmlns:mc="http://schemas.openxmlformats.org/markup-compatibility/2006">
    <mc:Choice Requires="x15">
      <x15ac:absPath xmlns:x15ac="http://schemas.microsoft.com/office/spreadsheetml/2010/11/ac" url="https://worldbankgroup-my.sharepoint.com/personal/dnikolova_worldbank_org/Documents/desktop/CCDR/"/>
    </mc:Choice>
  </mc:AlternateContent>
  <xr:revisionPtr revIDLastSave="74" documentId="8_{1EFAE80C-6496-427C-9832-EA4505B9CD04}" xr6:coauthVersionLast="47" xr6:coauthVersionMax="47" xr10:uidLastSave="{0C04D292-D82D-4EA4-B6CF-D74C3090525C}"/>
  <bookViews>
    <workbookView xWindow="-120" yWindow="-120" windowWidth="29040" windowHeight="15720" xr2:uid="{0822A552-216C-4281-9452-4FFF439FDA1A}"/>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Z5" i="1" l="1"/>
  <c r="BY5" i="1"/>
  <c r="BX5" i="1"/>
  <c r="BW5" i="1"/>
  <c r="BV5" i="1"/>
  <c r="BU5" i="1"/>
  <c r="BT5" i="1"/>
  <c r="BS5" i="1"/>
  <c r="BR5" i="1"/>
  <c r="BQ5" i="1"/>
  <c r="BP5" i="1"/>
  <c r="BO5" i="1"/>
  <c r="BN5" i="1"/>
  <c r="BM5" i="1"/>
  <c r="BL5" i="1"/>
  <c r="BK5" i="1"/>
  <c r="BJ5" i="1"/>
  <c r="BI5" i="1"/>
  <c r="BH5" i="1"/>
  <c r="BG5" i="1"/>
  <c r="BF5" i="1"/>
  <c r="BE5" i="1"/>
  <c r="BD5" i="1"/>
  <c r="BC5" i="1"/>
  <c r="BB5" i="1"/>
  <c r="BA5" i="1"/>
  <c r="AZ5" i="1"/>
  <c r="AY5" i="1"/>
  <c r="AX5" i="1"/>
  <c r="AW5" i="1"/>
  <c r="AV5" i="1"/>
  <c r="AU5" i="1"/>
  <c r="AT5" i="1"/>
  <c r="AS5" i="1"/>
  <c r="AR5" i="1"/>
  <c r="AQ5" i="1"/>
  <c r="AP5" i="1"/>
  <c r="AO5" i="1"/>
  <c r="AN5" i="1"/>
  <c r="AM5" i="1"/>
  <c r="AL5" i="1"/>
  <c r="AK5" i="1"/>
  <c r="AJ5" i="1"/>
  <c r="AI5" i="1"/>
  <c r="AH5" i="1"/>
  <c r="AG5" i="1"/>
  <c r="AF5" i="1"/>
  <c r="AE5" i="1"/>
  <c r="AD5" i="1"/>
  <c r="AC5" i="1"/>
  <c r="AB5" i="1"/>
  <c r="AA5" i="1"/>
  <c r="Z5" i="1"/>
  <c r="Y5" i="1"/>
  <c r="X5" i="1"/>
  <c r="W5" i="1"/>
  <c r="V5" i="1"/>
  <c r="U5" i="1"/>
  <c r="T5" i="1"/>
  <c r="S5" i="1"/>
  <c r="R5" i="1"/>
  <c r="Q5" i="1"/>
  <c r="P5" i="1"/>
  <c r="O5" i="1"/>
  <c r="N5" i="1"/>
  <c r="M5" i="1"/>
  <c r="L5" i="1"/>
  <c r="K5" i="1"/>
  <c r="J5" i="1"/>
  <c r="I5" i="1"/>
  <c r="H5" i="1"/>
  <c r="G5" i="1"/>
  <c r="F5" i="1"/>
  <c r="E5" i="1"/>
  <c r="D5" i="1"/>
  <c r="C5" i="1"/>
  <c r="B5" i="1"/>
  <c r="B6" i="1"/>
</calcChain>
</file>

<file path=xl/sharedStrings.xml><?xml version="1.0" encoding="utf-8"?>
<sst xmlns="http://schemas.openxmlformats.org/spreadsheetml/2006/main" count="84" uniqueCount="84">
  <si>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</si>
  <si>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</si>
  <si>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</si>
  <si>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</si>
  <si>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</si>
  <si>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</si>
  <si>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</si>
  <si>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</si>
  <si>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</si>
  <si>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</si>
  <si>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</si>
  <si>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</si>
  <si>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</si>
  <si>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</si>
  <si>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</si>
  <si>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</si>
  <si>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</si>
  <si>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</si>
  <si>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</si>
  <si>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</si>
  <si>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</si>
  <si>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</si>
  <si>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</si>
  <si>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</si>
  <si>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</si>
  <si>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</si>
  <si>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</si>
  <si>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</si>
  <si>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</si>
  <si>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</si>
  <si>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</si>
  <si>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</si>
  <si>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</si>
  <si>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</si>
  <si>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</si>
  <si>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</si>
  <si>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</si>
  <si>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</si>
  <si>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</si>
  <si>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</si>
  <si>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</si>
  <si>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</si>
  <si>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</si>
  <si>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</si>
  <si>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</si>
  <si>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</si>
  <si>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</si>
  <si>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</si>
  <si>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</si>
  <si>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</si>
  <si>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</si>
  <si>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</si>
  <si>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</si>
  <si>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</si>
  <si>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</si>
  <si>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</si>
  <si>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</si>
  <si>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</si>
  <si>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</si>
  <si>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</si>
  <si>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</si>
  <si>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</si>
  <si>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</si>
  <si>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</si>
  <si>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</si>
  <si>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</si>
  <si>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</si>
  <si>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</si>
  <si>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</si>
  <si>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</si>
  <si>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</si>
  <si>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</si>
  <si>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</si>
  <si>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</si>
  <si>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</si>
  <si>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</si>
  <si>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</si>
  <si>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UN no-change scenario (updated 16.10.2024)</t>
  </si>
  <si>
    <t>UN medium scenario (updated 16.10.2024)</t>
  </si>
  <si>
    <t>Eurostat baseline (updated 06/2023)</t>
  </si>
  <si>
    <t xml:space="preserve">Note: The UN “no change” scenario has the same assumption about international migration (median net migration of several thousand distinct trajectories of each demographic component derived using the probabilistic model of the variability in changes over time) as the medium scenario but differs from the latter by having constant fertility and mortality. </t>
  </si>
  <si>
    <r>
      <t>UN Medium scenario projection</t>
    </r>
    <r>
      <rPr>
        <i/>
        <sz val="13"/>
        <rFont val="Aptos Narrow"/>
        <family val="2"/>
        <scheme val="minor"/>
      </rPr>
      <t>: In projecting future levels of fertility, mortality and international migration, probabilistic methods were used to reflect the uncertainty of the projections based on the historical variability of changes in each variable. The method takes into account the past experience of each country, while also reflecting uncertainty about future changes based on the past experience of other countries under similar conditions. The medium scenario projection corresponds to the mean fertility and mortality and median net migration of several thousand distinct trajectories of each demographic component derived using the probabilistic model of the variability in changes over time. Prediction intervals reflect the spread in the distribution of outcomes across the projected trajectories and thus provide an assessment of the uncertainty inherent in the medium scenario projection.</t>
    </r>
  </si>
  <si>
    <t>GDP Baseline(no-reform) scenario, LTGM, 1/</t>
  </si>
  <si>
    <t>1/ GDP growth for 2024 - actual data; GDP growth for 2025-2027 - latest MFMOD projection produced in September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</si>
</sst>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6" x14ac:knownFonts="1">
    <font>
      <sz val="11"/>
      <color theme="1"/>
      <name val="Aptos Narrow"/>
      <family val="2"/>
      <scheme val="minor"/>
    </font>
    <font>
      <sz val="10"/>
      <name val="Arial"/>
      <family val="2"/>
    </font>
    <font>
      <b/>
      <sz val="8"/>
      <color theme="1"/>
      <name val="Tahoma"/>
      <family val="2"/>
      <charset val="204"/>
    </font>
    <font>
      <sz val="13"/>
      <name val="Aptos Narrow"/>
      <family val="2"/>
      <scheme val="minor"/>
    </font>
    <font>
      <i/>
      <sz val="13"/>
      <name val="Aptos Narrow"/>
      <family val="2"/>
      <scheme val="minor"/>
    </font>
    <font>
      <i/>
      <u/>
      <sz val="13"/>
      <name val="Aptos Narrow"/>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medium">
        <color theme="0" tint="-0.24994659260841701"/>
      </right>
      <top style="medium">
        <color theme="0" tint="-0.24994659260841701"/>
      </top>
      <bottom style="medium">
        <color theme="0" tint="-0.24994659260841701"/>
      </bottom>
      <diagonal/>
    </border>
  </borders>
  <cellStyleXfs count="2">
    <xf numFmtId="0" fontId="0" fillId="0" borderId="0"/>
    <xf numFmtId="0" fontId="1" fillId="0" borderId="0" applyNumberFormat="0"/>
  </cellStyleXfs>
  <cellXfs count="15">
    <xf numFmtId="0" fontId="0" fillId="0" borderId="0" xfId="0"/>
    <xf numFmtId="0" fontId="3" fillId="0" borderId="0" xfId="0" applyFont="1"/>
    <xf numFmtId="0" fontId="2" fillId="0" borderId="2" xfId="1" applyNumberFormat="1" applyFont="1" applyBorder="1" applyAlignment="1">
      <alignment horizontal="right"/>
    </xf>
    <xf numFmtId="0" fontId="3" fillId="0" borderId="1" xfId="0" applyFont="1" applyBorder="1"/>
    <xf numFmtId="0" fontId="3" fillId="0" borderId="1" xfId="1" applyNumberFormat="1" applyFont="1" applyBorder="1" applyAlignment="1">
      <alignment horizontal="right"/>
    </xf>
    <xf numFmtId="0" fontId="4" fillId="0" borderId="0" xfId="0" applyFont="1"/>
    <xf numFmtId="0" fontId="5" fillId="0" borderId="0" xfId="0" applyFont="1"/>
    <xf numFmtId="0" fontId="3" fillId="2" borderId="1" xfId="0" applyFont="1" applyFill="1" applyBorder="1" applyAlignment="1">
      <alignment horizontal="left" vertical="center"/>
    </xf>
    <xf numFmtId="10" fontId="0" fillId="3" borderId="0" xfId="0" applyNumberFormat="1" applyFill="1"/>
    <xf numFmtId="0" fontId="3" fillId="3" borderId="1" xfId="0" applyFont="1" applyFill="1" applyBorder="1"/>
    <xf numFmtId="0" fontId="3" fillId="3" borderId="1" xfId="1" applyNumberFormat="1" applyFont="1" applyFill="1" applyBorder="1" applyAlignment="1">
      <alignment horizontal="right"/>
    </xf>
    <xf numFmtId="0" fontId="0" fillId="3" borderId="0" xfId="0" applyFill="1"/>
    <xf numFmtId="0" fontId="2" fillId="3" borderId="2" xfId="1" applyNumberFormat="1" applyFont="1" applyFill="1" applyBorder="1" applyAlignment="1">
      <alignment horizontal="right"/>
    </xf>
    <xf numFmtId="164" fontId="0" fillId="3" borderId="0" xfId="0" applyNumberFormat="1" applyFill="1" applyAlignment="1">
      <alignment horizontal="right"/>
    </xf>
    <xf numFmtId="10" fontId="0" fillId="3" borderId="0" xfId="0" applyNumberFormat="1" applyFill="1" applyAlignment="1">
      <alignment horizontal="right"/>
    </xf>
  </cellXfs>
  <cellStyles count="2">
    <cellStyle name="Normal" xfId="0" builtinId="0"/>
    <cellStyle name="Normal 2" xfId="1" xr:uid="{468459E8-7C08-4B0E-BB62-87F74559552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Bulgaria: UN and Eurostat baseline population projections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Sheet1!$A$4</c:f>
              <c:strCache>
                <c:ptCount val="1"/>
                <c:pt idx="0">
                  <c:v>Eurostat baseline (updated 06/2023)</c:v>
                </c:pt>
              </c:strCache>
            </c:strRef>
          </c:tx>
          <c:spPr>
            <a:ln w="28575" cap="rnd">
              <a:solidFill>
                <a:schemeClr val="accent1"/>
              </a:solidFill>
              <a:round/>
            </a:ln>
            <a:effectLst/>
          </c:spPr>
          <c:marker>
            <c:symbol val="none"/>
          </c:marker>
          <c:cat>
            <c:strRef>
              <c:f>Sheet1!$B$2:$BZ$2</c:f>
              <c:strCache>
                <c:ptCount val="7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pt idx="50">
                  <c:v>2074</c:v>
                </c:pt>
                <c:pt idx="51">
                  <c:v>2075</c:v>
                </c:pt>
                <c:pt idx="52">
                  <c:v>2076</c:v>
                </c:pt>
                <c:pt idx="53">
                  <c:v>2077</c:v>
                </c:pt>
                <c:pt idx="54">
                  <c:v>2078</c:v>
                </c:pt>
                <c:pt idx="55">
                  <c:v>2079</c:v>
                </c:pt>
                <c:pt idx="56">
                  <c:v>2080</c:v>
                </c:pt>
                <c:pt idx="57">
                  <c:v>2081</c:v>
                </c:pt>
                <c:pt idx="58">
                  <c:v>2082</c:v>
                </c:pt>
                <c:pt idx="59">
                  <c:v>2083</c:v>
                </c:pt>
                <c:pt idx="60">
                  <c:v>2084</c:v>
                </c:pt>
                <c:pt idx="61">
                  <c:v>2085</c:v>
                </c:pt>
                <c:pt idx="62">
                  <c:v>2086</c:v>
                </c:pt>
                <c:pt idx="63">
                  <c:v>2087</c:v>
                </c:pt>
                <c:pt idx="64">
                  <c:v>2088</c:v>
                </c:pt>
                <c:pt idx="65">
                  <c:v>2089</c:v>
                </c:pt>
                <c:pt idx="66">
                  <c:v>2090</c:v>
                </c:pt>
                <c:pt idx="67">
                  <c:v>2091</c:v>
                </c:pt>
                <c:pt idx="68">
                  <c:v>2092</c:v>
                </c:pt>
                <c:pt idx="69">
                  <c:v>2093</c:v>
                </c:pt>
                <c:pt idx="70">
                  <c:v>2094</c:v>
                </c:pt>
                <c:pt idx="71">
                  <c:v>2095</c:v>
                </c:pt>
                <c:pt idx="72">
                  <c:v>2096</c:v>
                </c:pt>
                <c:pt idx="73">
                  <c:v>2097</c:v>
                </c:pt>
                <c:pt idx="74">
                  <c:v>2098</c:v>
                </c:pt>
                <c:pt idx="75">
                  <c:v>2099</c:v>
                </c:pt>
                <c:pt idx="76">
                  <c:v>2100</c:v>
                </c:pt>
              </c:strCache>
            </c:strRef>
          </c:cat>
          <c:val>
            <c:numRef>
              <c:f>Sheet1!$B$4:$BZ$4</c:f>
              <c:numCache>
                <c:formatCode>General</c:formatCode>
                <c:ptCount val="77"/>
                <c:pt idx="0">
                  <c:v>6918672</c:v>
                </c:pt>
                <c:pt idx="1">
                  <c:v>6860349</c:v>
                </c:pt>
                <c:pt idx="2">
                  <c:v>6802438</c:v>
                </c:pt>
                <c:pt idx="3">
                  <c:v>6744339</c:v>
                </c:pt>
                <c:pt idx="4">
                  <c:v>6685753</c:v>
                </c:pt>
                <c:pt idx="5">
                  <c:v>6629192</c:v>
                </c:pt>
                <c:pt idx="6">
                  <c:v>6574153</c:v>
                </c:pt>
                <c:pt idx="7">
                  <c:v>6520799</c:v>
                </c:pt>
                <c:pt idx="8">
                  <c:v>6469093</c:v>
                </c:pt>
                <c:pt idx="9">
                  <c:v>6419371</c:v>
                </c:pt>
                <c:pt idx="10">
                  <c:v>6372608</c:v>
                </c:pt>
                <c:pt idx="11">
                  <c:v>6333689</c:v>
                </c:pt>
                <c:pt idx="12">
                  <c:v>6295791</c:v>
                </c:pt>
                <c:pt idx="13">
                  <c:v>6258695</c:v>
                </c:pt>
                <c:pt idx="14">
                  <c:v>6222478</c:v>
                </c:pt>
                <c:pt idx="15">
                  <c:v>6188057</c:v>
                </c:pt>
                <c:pt idx="16">
                  <c:v>6155181</c:v>
                </c:pt>
                <c:pt idx="17">
                  <c:v>6123000</c:v>
                </c:pt>
                <c:pt idx="18">
                  <c:v>6091727</c:v>
                </c:pt>
                <c:pt idx="19">
                  <c:v>6061097</c:v>
                </c:pt>
                <c:pt idx="20">
                  <c:v>6030905</c:v>
                </c:pt>
                <c:pt idx="21">
                  <c:v>6001378</c:v>
                </c:pt>
                <c:pt idx="22">
                  <c:v>5971941</c:v>
                </c:pt>
                <c:pt idx="23">
                  <c:v>5942884</c:v>
                </c:pt>
                <c:pt idx="24">
                  <c:v>5914113</c:v>
                </c:pt>
                <c:pt idx="25">
                  <c:v>5885720</c:v>
                </c:pt>
                <c:pt idx="26">
                  <c:v>5857619</c:v>
                </c:pt>
                <c:pt idx="27">
                  <c:v>5829653</c:v>
                </c:pt>
                <c:pt idx="28">
                  <c:v>5802057</c:v>
                </c:pt>
                <c:pt idx="29">
                  <c:v>5774417</c:v>
                </c:pt>
                <c:pt idx="30">
                  <c:v>5747135</c:v>
                </c:pt>
                <c:pt idx="31">
                  <c:v>5719739</c:v>
                </c:pt>
                <c:pt idx="32">
                  <c:v>5692072</c:v>
                </c:pt>
                <c:pt idx="33">
                  <c:v>5663896</c:v>
                </c:pt>
                <c:pt idx="34">
                  <c:v>5635318</c:v>
                </c:pt>
                <c:pt idx="35">
                  <c:v>5606566</c:v>
                </c:pt>
                <c:pt idx="36">
                  <c:v>5577599</c:v>
                </c:pt>
                <c:pt idx="37">
                  <c:v>5548327</c:v>
                </c:pt>
                <c:pt idx="38">
                  <c:v>5519364</c:v>
                </c:pt>
                <c:pt idx="39">
                  <c:v>5490261</c:v>
                </c:pt>
                <c:pt idx="40">
                  <c:v>5461787</c:v>
                </c:pt>
                <c:pt idx="41">
                  <c:v>5434519</c:v>
                </c:pt>
                <c:pt idx="42">
                  <c:v>5407825</c:v>
                </c:pt>
                <c:pt idx="43">
                  <c:v>5381520</c:v>
                </c:pt>
                <c:pt idx="44">
                  <c:v>5355969</c:v>
                </c:pt>
                <c:pt idx="45">
                  <c:v>5331321</c:v>
                </c:pt>
                <c:pt idx="46">
                  <c:v>5307774</c:v>
                </c:pt>
                <c:pt idx="47">
                  <c:v>5285325</c:v>
                </c:pt>
                <c:pt idx="48">
                  <c:v>5263974</c:v>
                </c:pt>
                <c:pt idx="49">
                  <c:v>5243725</c:v>
                </c:pt>
                <c:pt idx="50">
                  <c:v>5224730</c:v>
                </c:pt>
                <c:pt idx="51">
                  <c:v>5207097</c:v>
                </c:pt>
                <c:pt idx="52">
                  <c:v>5190244</c:v>
                </c:pt>
                <c:pt idx="53">
                  <c:v>5174411</c:v>
                </c:pt>
                <c:pt idx="54">
                  <c:v>5159594</c:v>
                </c:pt>
                <c:pt idx="55">
                  <c:v>5145717</c:v>
                </c:pt>
                <c:pt idx="56">
                  <c:v>5133224</c:v>
                </c:pt>
                <c:pt idx="57">
                  <c:v>5121743</c:v>
                </c:pt>
                <c:pt idx="58">
                  <c:v>5111421</c:v>
                </c:pt>
                <c:pt idx="59">
                  <c:v>5102175</c:v>
                </c:pt>
                <c:pt idx="60">
                  <c:v>5093994</c:v>
                </c:pt>
                <c:pt idx="61">
                  <c:v>5086931</c:v>
                </c:pt>
                <c:pt idx="62">
                  <c:v>5080875</c:v>
                </c:pt>
                <c:pt idx="63">
                  <c:v>5075940</c:v>
                </c:pt>
                <c:pt idx="64">
                  <c:v>5072047</c:v>
                </c:pt>
                <c:pt idx="65">
                  <c:v>5069015</c:v>
                </c:pt>
                <c:pt idx="66">
                  <c:v>5066952</c:v>
                </c:pt>
                <c:pt idx="67">
                  <c:v>5065672</c:v>
                </c:pt>
                <c:pt idx="68">
                  <c:v>5065080</c:v>
                </c:pt>
                <c:pt idx="69">
                  <c:v>5065033</c:v>
                </c:pt>
                <c:pt idx="70">
                  <c:v>5065457</c:v>
                </c:pt>
                <c:pt idx="71">
                  <c:v>5066236</c:v>
                </c:pt>
                <c:pt idx="72">
                  <c:v>5067262</c:v>
                </c:pt>
                <c:pt idx="73">
                  <c:v>5068408</c:v>
                </c:pt>
                <c:pt idx="74">
                  <c:v>5069652</c:v>
                </c:pt>
                <c:pt idx="75">
                  <c:v>5070900</c:v>
                </c:pt>
                <c:pt idx="76">
                  <c:v>5072147</c:v>
                </c:pt>
              </c:numCache>
            </c:numRef>
          </c:val>
          <c:smooth val="0"/>
          <c:extLst>
            <c:ext xmlns:c16="http://schemas.microsoft.com/office/drawing/2014/chart" uri="{C3380CC4-5D6E-409C-BE32-E72D297353CC}">
              <c16:uniqueId val="{00000000-85CB-47EC-BD7C-29507E53C65C}"/>
            </c:ext>
          </c:extLst>
        </c:ser>
        <c:ser>
          <c:idx val="1"/>
          <c:order val="1"/>
          <c:tx>
            <c:strRef>
              <c:f>Sheet1!$A$5</c:f>
              <c:strCache>
                <c:ptCount val="1"/>
                <c:pt idx="0">
                  <c:v>UN medium scenario (updated 16.10.2024)</c:v>
                </c:pt>
              </c:strCache>
            </c:strRef>
          </c:tx>
          <c:spPr>
            <a:ln w="28575" cap="rnd">
              <a:solidFill>
                <a:schemeClr val="accent2"/>
              </a:solidFill>
              <a:round/>
            </a:ln>
            <a:effectLst/>
          </c:spPr>
          <c:marker>
            <c:symbol val="none"/>
          </c:marker>
          <c:cat>
            <c:strRef>
              <c:f>Sheet1!$B$2:$BZ$2</c:f>
              <c:strCache>
                <c:ptCount val="7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pt idx="50">
                  <c:v>2074</c:v>
                </c:pt>
                <c:pt idx="51">
                  <c:v>2075</c:v>
                </c:pt>
                <c:pt idx="52">
                  <c:v>2076</c:v>
                </c:pt>
                <c:pt idx="53">
                  <c:v>2077</c:v>
                </c:pt>
                <c:pt idx="54">
                  <c:v>2078</c:v>
                </c:pt>
                <c:pt idx="55">
                  <c:v>2079</c:v>
                </c:pt>
                <c:pt idx="56">
                  <c:v>2080</c:v>
                </c:pt>
                <c:pt idx="57">
                  <c:v>2081</c:v>
                </c:pt>
                <c:pt idx="58">
                  <c:v>2082</c:v>
                </c:pt>
                <c:pt idx="59">
                  <c:v>2083</c:v>
                </c:pt>
                <c:pt idx="60">
                  <c:v>2084</c:v>
                </c:pt>
                <c:pt idx="61">
                  <c:v>2085</c:v>
                </c:pt>
                <c:pt idx="62">
                  <c:v>2086</c:v>
                </c:pt>
                <c:pt idx="63">
                  <c:v>2087</c:v>
                </c:pt>
                <c:pt idx="64">
                  <c:v>2088</c:v>
                </c:pt>
                <c:pt idx="65">
                  <c:v>2089</c:v>
                </c:pt>
                <c:pt idx="66">
                  <c:v>2090</c:v>
                </c:pt>
                <c:pt idx="67">
                  <c:v>2091</c:v>
                </c:pt>
                <c:pt idx="68">
                  <c:v>2092</c:v>
                </c:pt>
                <c:pt idx="69">
                  <c:v>2093</c:v>
                </c:pt>
                <c:pt idx="70">
                  <c:v>2094</c:v>
                </c:pt>
                <c:pt idx="71">
                  <c:v>2095</c:v>
                </c:pt>
                <c:pt idx="72">
                  <c:v>2096</c:v>
                </c:pt>
                <c:pt idx="73">
                  <c:v>2097</c:v>
                </c:pt>
                <c:pt idx="74">
                  <c:v>2098</c:v>
                </c:pt>
                <c:pt idx="75">
                  <c:v>2099</c:v>
                </c:pt>
                <c:pt idx="76">
                  <c:v>2100</c:v>
                </c:pt>
              </c:strCache>
            </c:strRef>
          </c:cat>
          <c:val>
            <c:numRef>
              <c:f>Sheet1!$B$5:$BZ$5</c:f>
              <c:numCache>
                <c:formatCode>General</c:formatCode>
                <c:ptCount val="77"/>
                <c:pt idx="0">
                  <c:v>6757689</c:v>
                </c:pt>
                <c:pt idx="1">
                  <c:v>6714560</c:v>
                </c:pt>
                <c:pt idx="2">
                  <c:v>6667659</c:v>
                </c:pt>
                <c:pt idx="3">
                  <c:v>6617828</c:v>
                </c:pt>
                <c:pt idx="4">
                  <c:v>6566018</c:v>
                </c:pt>
                <c:pt idx="5">
                  <c:v>6512786</c:v>
                </c:pt>
                <c:pt idx="6">
                  <c:v>6458243</c:v>
                </c:pt>
                <c:pt idx="7">
                  <c:v>6403153</c:v>
                </c:pt>
                <c:pt idx="8">
                  <c:v>6348399</c:v>
                </c:pt>
                <c:pt idx="9">
                  <c:v>6293470</c:v>
                </c:pt>
                <c:pt idx="10">
                  <c:v>6238212</c:v>
                </c:pt>
                <c:pt idx="11">
                  <c:v>6183114</c:v>
                </c:pt>
                <c:pt idx="12">
                  <c:v>6127669</c:v>
                </c:pt>
                <c:pt idx="13">
                  <c:v>6071890</c:v>
                </c:pt>
                <c:pt idx="14">
                  <c:v>6016846</c:v>
                </c:pt>
                <c:pt idx="15">
                  <c:v>5962193</c:v>
                </c:pt>
                <c:pt idx="16">
                  <c:v>5907728</c:v>
                </c:pt>
                <c:pt idx="17">
                  <c:v>5854056</c:v>
                </c:pt>
                <c:pt idx="18">
                  <c:v>5801386</c:v>
                </c:pt>
                <c:pt idx="19">
                  <c:v>5749677</c:v>
                </c:pt>
                <c:pt idx="20">
                  <c:v>5698614</c:v>
                </c:pt>
                <c:pt idx="21">
                  <c:v>5648256</c:v>
                </c:pt>
                <c:pt idx="22">
                  <c:v>5598424</c:v>
                </c:pt>
                <c:pt idx="23">
                  <c:v>5548705</c:v>
                </c:pt>
                <c:pt idx="24">
                  <c:v>5499404</c:v>
                </c:pt>
                <c:pt idx="25">
                  <c:v>5450678</c:v>
                </c:pt>
                <c:pt idx="26">
                  <c:v>5402217</c:v>
                </c:pt>
                <c:pt idx="27">
                  <c:v>5354139</c:v>
                </c:pt>
                <c:pt idx="28">
                  <c:v>5306434</c:v>
                </c:pt>
                <c:pt idx="29">
                  <c:v>5258697</c:v>
                </c:pt>
                <c:pt idx="30">
                  <c:v>5210895</c:v>
                </c:pt>
                <c:pt idx="31">
                  <c:v>5163244</c:v>
                </c:pt>
                <c:pt idx="32">
                  <c:v>5115852</c:v>
                </c:pt>
                <c:pt idx="33">
                  <c:v>5068667</c:v>
                </c:pt>
                <c:pt idx="34">
                  <c:v>5021579</c:v>
                </c:pt>
                <c:pt idx="35">
                  <c:v>4974221</c:v>
                </c:pt>
                <c:pt idx="36">
                  <c:v>4926388</c:v>
                </c:pt>
                <c:pt idx="37">
                  <c:v>4878501</c:v>
                </c:pt>
                <c:pt idx="38">
                  <c:v>4830917</c:v>
                </c:pt>
                <c:pt idx="39">
                  <c:v>4783587</c:v>
                </c:pt>
                <c:pt idx="40">
                  <c:v>4736305</c:v>
                </c:pt>
                <c:pt idx="41">
                  <c:v>4689240</c:v>
                </c:pt>
                <c:pt idx="42">
                  <c:v>4642625</c:v>
                </c:pt>
                <c:pt idx="43">
                  <c:v>4596676</c:v>
                </c:pt>
                <c:pt idx="44">
                  <c:v>4551628</c:v>
                </c:pt>
                <c:pt idx="45">
                  <c:v>4507404</c:v>
                </c:pt>
                <c:pt idx="46">
                  <c:v>4463711</c:v>
                </c:pt>
                <c:pt idx="47">
                  <c:v>4420782</c:v>
                </c:pt>
                <c:pt idx="48">
                  <c:v>4378825</c:v>
                </c:pt>
                <c:pt idx="49">
                  <c:v>4337610</c:v>
                </c:pt>
                <c:pt idx="50">
                  <c:v>4297012</c:v>
                </c:pt>
                <c:pt idx="51">
                  <c:v>4257602</c:v>
                </c:pt>
                <c:pt idx="52">
                  <c:v>4219621</c:v>
                </c:pt>
                <c:pt idx="53">
                  <c:v>4182529.0000000005</c:v>
                </c:pt>
                <c:pt idx="54">
                  <c:v>4146350.0000000005</c:v>
                </c:pt>
                <c:pt idx="55">
                  <c:v>4111020.9999999995</c:v>
                </c:pt>
                <c:pt idx="56">
                  <c:v>4076463</c:v>
                </c:pt>
                <c:pt idx="57">
                  <c:v>4043363</c:v>
                </c:pt>
                <c:pt idx="58">
                  <c:v>4011530</c:v>
                </c:pt>
                <c:pt idx="59">
                  <c:v>3980550</c:v>
                </c:pt>
                <c:pt idx="60">
                  <c:v>3950392</c:v>
                </c:pt>
                <c:pt idx="61">
                  <c:v>3920959</c:v>
                </c:pt>
                <c:pt idx="62">
                  <c:v>3892425</c:v>
                </c:pt>
                <c:pt idx="63">
                  <c:v>3864743</c:v>
                </c:pt>
                <c:pt idx="64">
                  <c:v>3837896</c:v>
                </c:pt>
                <c:pt idx="65">
                  <c:v>3811654</c:v>
                </c:pt>
                <c:pt idx="66">
                  <c:v>3785849</c:v>
                </c:pt>
                <c:pt idx="67">
                  <c:v>3760385</c:v>
                </c:pt>
                <c:pt idx="68">
                  <c:v>3735003</c:v>
                </c:pt>
                <c:pt idx="69">
                  <c:v>3709666</c:v>
                </c:pt>
                <c:pt idx="70">
                  <c:v>3684337</c:v>
                </c:pt>
                <c:pt idx="71">
                  <c:v>3659088</c:v>
                </c:pt>
                <c:pt idx="72">
                  <c:v>3633686</c:v>
                </c:pt>
                <c:pt idx="73">
                  <c:v>3608077</c:v>
                </c:pt>
                <c:pt idx="74">
                  <c:v>3582563</c:v>
                </c:pt>
                <c:pt idx="75">
                  <c:v>3556979</c:v>
                </c:pt>
                <c:pt idx="76">
                  <c:v>3531198</c:v>
                </c:pt>
              </c:numCache>
            </c:numRef>
          </c:val>
          <c:smooth val="0"/>
          <c:extLst>
            <c:ext xmlns:c16="http://schemas.microsoft.com/office/drawing/2014/chart" uri="{C3380CC4-5D6E-409C-BE32-E72D297353CC}">
              <c16:uniqueId val="{00000001-85CB-47EC-BD7C-29507E53C65C}"/>
            </c:ext>
          </c:extLst>
        </c:ser>
        <c:dLbls>
          <c:showLegendKey val="0"/>
          <c:showVal val="0"/>
          <c:showCatName val="0"/>
          <c:showSerName val="0"/>
          <c:showPercent val="0"/>
          <c:showBubbleSize val="0"/>
        </c:dLbls>
        <c:smooth val="0"/>
        <c:axId val="777939775"/>
        <c:axId val="777938335"/>
      </c:lineChart>
      <c:catAx>
        <c:axId val="77793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938335"/>
        <c:crosses val="autoZero"/>
        <c:auto val="1"/>
        <c:lblAlgn val="ctr"/>
        <c:lblOffset val="100"/>
        <c:noMultiLvlLbl val="0"/>
      </c:catAx>
      <c:valAx>
        <c:axId val="777938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9397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538163</xdr:colOff>
      <xdr:row>12</xdr:row>
      <xdr:rowOff>42862</xdr:rowOff>
    </xdr:from>
    <xdr:to>
      <xdr:col>12</xdr:col>
      <xdr:colOff>404813</xdr:colOff>
      <xdr:row>26</xdr:row>
      <xdr:rowOff>119062</xdr:rowOff>
    </xdr:to>
    <xdr:graphicFrame macro="">
      <xdr:nvGraphicFramePr>
        <xdr:cNvPr id="4" name="Chart 3">
          <a:extLst>
            <a:ext uri="{FF2B5EF4-FFF2-40B4-BE49-F238E27FC236}">
              <a16:creationId xmlns:a16="http://schemas.microsoft.com/office/drawing/2014/main" id="{236CCCA2-4CE8-9363-DB8F-6399E9EA76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6E4C6-3375-42A9-ADA2-D7F441755392}">
  <dimension ref="A1:CA10"/>
  <sheetViews>
    <sheetView tabSelected="1" workbookViewId="0">
      <selection activeCell="E12" sqref="E12"/>
    </sheetView>
  </sheetViews>
  <sheetFormatPr defaultRowHeight="15" x14ac:dyDescent="0.25"/>
  <cols>
    <col min="1" max="1" width="47.5703125" customWidth="1"/>
    <col min="2" max="2" width="11.5703125" bestFit="1" customWidth="1"/>
    <col min="3" max="3" width="10.28515625" bestFit="1" customWidth="1"/>
    <col min="4" max="10" width="11.5703125" bestFit="1" customWidth="1"/>
    <col min="11" max="11" width="10.28515625" bestFit="1" customWidth="1"/>
    <col min="12" max="14" width="11.5703125" bestFit="1" customWidth="1"/>
    <col min="15" max="78" width="10.28515625" bestFit="1" customWidth="1"/>
  </cols>
  <sheetData>
    <row r="1" spans="1:79" ht="15.75" thickBot="1" x14ac:dyDescent="0.3"/>
    <row r="2" spans="1:79" ht="18" thickBot="1" x14ac:dyDescent="0.35">
      <c r="A2" s="3"/>
      <c r="B2" s="4" t="s">
        <v>0</v>
      </c>
      <c r="C2" s="4" t="s">
        <v>1</v>
      </c>
      <c r="D2" s="4" t="s">
        <v>2</v>
      </c>
      <c r="E2" s="4" t="s">
        <v>3</v>
      </c>
      <c r="F2" s="4" t="s">
        <v>4</v>
      </c>
      <c r="G2" s="4" t="s">
        <v>5</v>
      </c>
      <c r="H2" s="4" t="s">
        <v>6</v>
      </c>
      <c r="I2" s="4" t="s">
        <v>7</v>
      </c>
      <c r="J2" s="4" t="s">
        <v>8</v>
      </c>
      <c r="K2" s="4" t="s">
        <v>9</v>
      </c>
      <c r="L2" s="4" t="s">
        <v>10</v>
      </c>
      <c r="M2" s="4" t="s">
        <v>11</v>
      </c>
      <c r="N2" s="4" t="s">
        <v>12</v>
      </c>
      <c r="O2" s="4" t="s">
        <v>13</v>
      </c>
      <c r="P2" s="4" t="s">
        <v>14</v>
      </c>
      <c r="Q2" s="4" t="s">
        <v>15</v>
      </c>
      <c r="R2" s="4" t="s">
        <v>16</v>
      </c>
      <c r="S2" s="4" t="s">
        <v>17</v>
      </c>
      <c r="T2" s="4" t="s">
        <v>18</v>
      </c>
      <c r="U2" s="4" t="s">
        <v>19</v>
      </c>
      <c r="V2" s="4" t="s">
        <v>20</v>
      </c>
      <c r="W2" s="4" t="s">
        <v>21</v>
      </c>
      <c r="X2" s="4" t="s">
        <v>22</v>
      </c>
      <c r="Y2" s="4" t="s">
        <v>23</v>
      </c>
      <c r="Z2" s="4" t="s">
        <v>24</v>
      </c>
      <c r="AA2" s="4" t="s">
        <v>25</v>
      </c>
      <c r="AB2" s="4" t="s">
        <v>26</v>
      </c>
      <c r="AC2" s="4" t="s">
        <v>27</v>
      </c>
      <c r="AD2" s="4" t="s">
        <v>28</v>
      </c>
      <c r="AE2" s="4" t="s">
        <v>29</v>
      </c>
      <c r="AF2" s="4" t="s">
        <v>30</v>
      </c>
      <c r="AG2" s="4" t="s">
        <v>31</v>
      </c>
      <c r="AH2" s="4" t="s">
        <v>32</v>
      </c>
      <c r="AI2" s="4" t="s">
        <v>33</v>
      </c>
      <c r="AJ2" s="4" t="s">
        <v>34</v>
      </c>
      <c r="AK2" s="4" t="s">
        <v>35</v>
      </c>
      <c r="AL2" s="4" t="s">
        <v>36</v>
      </c>
      <c r="AM2" s="4" t="s">
        <v>37</v>
      </c>
      <c r="AN2" s="4" t="s">
        <v>38</v>
      </c>
      <c r="AO2" s="4" t="s">
        <v>39</v>
      </c>
      <c r="AP2" s="4" t="s">
        <v>40</v>
      </c>
      <c r="AQ2" s="4" t="s">
        <v>41</v>
      </c>
      <c r="AR2" s="4" t="s">
        <v>42</v>
      </c>
      <c r="AS2" s="4" t="s">
        <v>43</v>
      </c>
      <c r="AT2" s="4" t="s">
        <v>44</v>
      </c>
      <c r="AU2" s="4" t="s">
        <v>45</v>
      </c>
      <c r="AV2" s="4" t="s">
        <v>46</v>
      </c>
      <c r="AW2" s="4" t="s">
        <v>47</v>
      </c>
      <c r="AX2" s="4" t="s">
        <v>48</v>
      </c>
      <c r="AY2" s="4" t="s">
        <v>49</v>
      </c>
      <c r="AZ2" s="4" t="s">
        <v>50</v>
      </c>
      <c r="BA2" s="4" t="s">
        <v>51</v>
      </c>
      <c r="BB2" s="4" t="s">
        <v>52</v>
      </c>
      <c r="BC2" s="4" t="s">
        <v>53</v>
      </c>
      <c r="BD2" s="4" t="s">
        <v>54</v>
      </c>
      <c r="BE2" s="4" t="s">
        <v>55</v>
      </c>
      <c r="BF2" s="4" t="s">
        <v>56</v>
      </c>
      <c r="BG2" s="4" t="s">
        <v>57</v>
      </c>
      <c r="BH2" s="4" t="s">
        <v>58</v>
      </c>
      <c r="BI2" s="4" t="s">
        <v>59</v>
      </c>
      <c r="BJ2" s="4" t="s">
        <v>60</v>
      </c>
      <c r="BK2" s="4" t="s">
        <v>61</v>
      </c>
      <c r="BL2" s="4" t="s">
        <v>62</v>
      </c>
      <c r="BM2" s="4" t="s">
        <v>63</v>
      </c>
      <c r="BN2" s="4" t="s">
        <v>64</v>
      </c>
      <c r="BO2" s="4" t="s">
        <v>65</v>
      </c>
      <c r="BP2" s="4" t="s">
        <v>66</v>
      </c>
      <c r="BQ2" s="4" t="s">
        <v>67</v>
      </c>
      <c r="BR2" s="4" t="s">
        <v>68</v>
      </c>
      <c r="BS2" s="4" t="s">
        <v>69</v>
      </c>
      <c r="BT2" s="4" t="s">
        <v>70</v>
      </c>
      <c r="BU2" s="4" t="s">
        <v>71</v>
      </c>
      <c r="BV2" s="4" t="s">
        <v>72</v>
      </c>
      <c r="BW2" s="4" t="s">
        <v>73</v>
      </c>
      <c r="BX2" s="4" t="s">
        <v>74</v>
      </c>
      <c r="BY2" s="4" t="s">
        <v>75</v>
      </c>
      <c r="BZ2" s="4" t="s">
        <v>76</v>
      </c>
      <c r="CA2" s="2"/>
    </row>
    <row r="3" spans="1:79" s="11" customFormat="1" ht="18" thickBot="1" x14ac:dyDescent="0.35">
      <c r="A3" s="9" t="s">
        <v>82</v>
      </c>
      <c r="B3" s="13">
        <v>3.4000000000000002E-2</v>
      </c>
      <c r="C3" s="14">
        <v>0.03</v>
      </c>
      <c r="D3" s="14">
        <v>2.9000000000000001E-2</v>
      </c>
      <c r="E3" s="14">
        <v>3.1E-2</v>
      </c>
      <c r="F3" s="8">
        <v>2.2804463698546273E-2</v>
      </c>
      <c r="G3" s="8">
        <v>2.0762496039232081E-2</v>
      </c>
      <c r="H3" s="8">
        <v>2.0771899934221905E-2</v>
      </c>
      <c r="I3" s="8">
        <v>1.9890530689081309E-2</v>
      </c>
      <c r="J3" s="8">
        <v>1.9863959302521383E-2</v>
      </c>
      <c r="K3" s="8">
        <v>1.9714625164777067E-2</v>
      </c>
      <c r="L3" s="8">
        <v>1.9350936472179781E-2</v>
      </c>
      <c r="M3" s="8">
        <v>1.8939045533518772E-2</v>
      </c>
      <c r="N3" s="8">
        <v>1.7827541917824874E-2</v>
      </c>
      <c r="O3" s="8">
        <v>1.7603495375419831E-2</v>
      </c>
      <c r="P3" s="8">
        <v>1.7273754756915505E-2</v>
      </c>
      <c r="Q3" s="8">
        <v>1.6693808593941428E-2</v>
      </c>
      <c r="R3" s="8">
        <v>1.6572124677108224E-2</v>
      </c>
      <c r="S3" s="8">
        <v>1.5106187951547279E-2</v>
      </c>
      <c r="T3" s="8">
        <v>1.4875156863183969E-2</v>
      </c>
      <c r="U3" s="8">
        <v>1.4657476292763594E-2</v>
      </c>
      <c r="V3" s="8">
        <v>1.4402717374643936E-2</v>
      </c>
      <c r="W3" s="8">
        <v>1.4367616111589099E-2</v>
      </c>
      <c r="X3" s="8">
        <v>1.3481837943981612E-2</v>
      </c>
      <c r="Y3" s="8">
        <v>1.3568756129292092E-2</v>
      </c>
      <c r="Z3" s="8">
        <v>1.3369604974030169E-2</v>
      </c>
      <c r="AA3" s="8">
        <v>1.2960663809999717E-2</v>
      </c>
      <c r="AB3" s="8">
        <v>1.2381407236470077E-2</v>
      </c>
      <c r="AC3" s="8">
        <v>1.8820625525543783E-2</v>
      </c>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2"/>
    </row>
    <row r="4" spans="1:79" ht="18" thickBot="1" x14ac:dyDescent="0.35">
      <c r="A4" s="7" t="s">
        <v>79</v>
      </c>
      <c r="B4" s="4">
        <v>6918672</v>
      </c>
      <c r="C4" s="4">
        <v>6860349</v>
      </c>
      <c r="D4" s="4">
        <v>6802438</v>
      </c>
      <c r="E4" s="4">
        <v>6744339</v>
      </c>
      <c r="F4" s="4">
        <v>6685753</v>
      </c>
      <c r="G4" s="4">
        <v>6629192</v>
      </c>
      <c r="H4" s="4">
        <v>6574153</v>
      </c>
      <c r="I4" s="4">
        <v>6520799</v>
      </c>
      <c r="J4" s="4">
        <v>6469093</v>
      </c>
      <c r="K4" s="4">
        <v>6419371</v>
      </c>
      <c r="L4" s="4">
        <v>6372608</v>
      </c>
      <c r="M4" s="4">
        <v>6333689</v>
      </c>
      <c r="N4" s="4">
        <v>6295791</v>
      </c>
      <c r="O4" s="4">
        <v>6258695</v>
      </c>
      <c r="P4" s="4">
        <v>6222478</v>
      </c>
      <c r="Q4" s="4">
        <v>6188057</v>
      </c>
      <c r="R4" s="4">
        <v>6155181</v>
      </c>
      <c r="S4" s="4">
        <v>6123000</v>
      </c>
      <c r="T4" s="4">
        <v>6091727</v>
      </c>
      <c r="U4" s="4">
        <v>6061097</v>
      </c>
      <c r="V4" s="4">
        <v>6030905</v>
      </c>
      <c r="W4" s="4">
        <v>6001378</v>
      </c>
      <c r="X4" s="4">
        <v>5971941</v>
      </c>
      <c r="Y4" s="4">
        <v>5942884</v>
      </c>
      <c r="Z4" s="4">
        <v>5914113</v>
      </c>
      <c r="AA4" s="4">
        <v>5885720</v>
      </c>
      <c r="AB4" s="4">
        <v>5857619</v>
      </c>
      <c r="AC4" s="4">
        <v>5829653</v>
      </c>
      <c r="AD4" s="4">
        <v>5802057</v>
      </c>
      <c r="AE4" s="4">
        <v>5774417</v>
      </c>
      <c r="AF4" s="4">
        <v>5747135</v>
      </c>
      <c r="AG4" s="4">
        <v>5719739</v>
      </c>
      <c r="AH4" s="4">
        <v>5692072</v>
      </c>
      <c r="AI4" s="4">
        <v>5663896</v>
      </c>
      <c r="AJ4" s="4">
        <v>5635318</v>
      </c>
      <c r="AK4" s="4">
        <v>5606566</v>
      </c>
      <c r="AL4" s="4">
        <v>5577599</v>
      </c>
      <c r="AM4" s="4">
        <v>5548327</v>
      </c>
      <c r="AN4" s="4">
        <v>5519364</v>
      </c>
      <c r="AO4" s="4">
        <v>5490261</v>
      </c>
      <c r="AP4" s="4">
        <v>5461787</v>
      </c>
      <c r="AQ4" s="4">
        <v>5434519</v>
      </c>
      <c r="AR4" s="4">
        <v>5407825</v>
      </c>
      <c r="AS4" s="4">
        <v>5381520</v>
      </c>
      <c r="AT4" s="4">
        <v>5355969</v>
      </c>
      <c r="AU4" s="4">
        <v>5331321</v>
      </c>
      <c r="AV4" s="4">
        <v>5307774</v>
      </c>
      <c r="AW4" s="4">
        <v>5285325</v>
      </c>
      <c r="AX4" s="4">
        <v>5263974</v>
      </c>
      <c r="AY4" s="4">
        <v>5243725</v>
      </c>
      <c r="AZ4" s="4">
        <v>5224730</v>
      </c>
      <c r="BA4" s="4">
        <v>5207097</v>
      </c>
      <c r="BB4" s="4">
        <v>5190244</v>
      </c>
      <c r="BC4" s="4">
        <v>5174411</v>
      </c>
      <c r="BD4" s="4">
        <v>5159594</v>
      </c>
      <c r="BE4" s="4">
        <v>5145717</v>
      </c>
      <c r="BF4" s="4">
        <v>5133224</v>
      </c>
      <c r="BG4" s="4">
        <v>5121743</v>
      </c>
      <c r="BH4" s="4">
        <v>5111421</v>
      </c>
      <c r="BI4" s="4">
        <v>5102175</v>
      </c>
      <c r="BJ4" s="4">
        <v>5093994</v>
      </c>
      <c r="BK4" s="4">
        <v>5086931</v>
      </c>
      <c r="BL4" s="4">
        <v>5080875</v>
      </c>
      <c r="BM4" s="4">
        <v>5075940</v>
      </c>
      <c r="BN4" s="4">
        <v>5072047</v>
      </c>
      <c r="BO4" s="4">
        <v>5069015</v>
      </c>
      <c r="BP4" s="4">
        <v>5066952</v>
      </c>
      <c r="BQ4" s="4">
        <v>5065672</v>
      </c>
      <c r="BR4" s="4">
        <v>5065080</v>
      </c>
      <c r="BS4" s="4">
        <v>5065033</v>
      </c>
      <c r="BT4" s="4">
        <v>5065457</v>
      </c>
      <c r="BU4" s="4">
        <v>5066236</v>
      </c>
      <c r="BV4" s="4">
        <v>5067262</v>
      </c>
      <c r="BW4" s="4">
        <v>5068408</v>
      </c>
      <c r="BX4" s="4">
        <v>5069652</v>
      </c>
      <c r="BY4" s="4">
        <v>5070900</v>
      </c>
      <c r="BZ4" s="4">
        <v>5072147</v>
      </c>
      <c r="CA4" s="2"/>
    </row>
    <row r="5" spans="1:79" s="11" customFormat="1" ht="17.25" x14ac:dyDescent="0.3">
      <c r="A5" s="9" t="s">
        <v>78</v>
      </c>
      <c r="B5" s="10">
        <f t="shared" ref="B5:AG5" si="0">B7*1000</f>
        <v>6757689</v>
      </c>
      <c r="C5" s="10">
        <f t="shared" si="0"/>
        <v>6714560</v>
      </c>
      <c r="D5" s="10">
        <f t="shared" si="0"/>
        <v>6667659</v>
      </c>
      <c r="E5" s="10">
        <f t="shared" si="0"/>
        <v>6617828</v>
      </c>
      <c r="F5" s="10">
        <f t="shared" si="0"/>
        <v>6566018</v>
      </c>
      <c r="G5" s="10">
        <f t="shared" si="0"/>
        <v>6512786</v>
      </c>
      <c r="H5" s="10">
        <f t="shared" si="0"/>
        <v>6458243</v>
      </c>
      <c r="I5" s="10">
        <f t="shared" si="0"/>
        <v>6403153</v>
      </c>
      <c r="J5" s="10">
        <f t="shared" si="0"/>
        <v>6348399</v>
      </c>
      <c r="K5" s="10">
        <f t="shared" si="0"/>
        <v>6293470</v>
      </c>
      <c r="L5" s="10">
        <f t="shared" si="0"/>
        <v>6238212</v>
      </c>
      <c r="M5" s="10">
        <f t="shared" si="0"/>
        <v>6183114</v>
      </c>
      <c r="N5" s="10">
        <f t="shared" si="0"/>
        <v>6127669</v>
      </c>
      <c r="O5" s="10">
        <f t="shared" si="0"/>
        <v>6071890</v>
      </c>
      <c r="P5" s="10">
        <f t="shared" si="0"/>
        <v>6016846</v>
      </c>
      <c r="Q5" s="10">
        <f t="shared" si="0"/>
        <v>5962193</v>
      </c>
      <c r="R5" s="10">
        <f t="shared" si="0"/>
        <v>5907728</v>
      </c>
      <c r="S5" s="10">
        <f t="shared" si="0"/>
        <v>5854056</v>
      </c>
      <c r="T5" s="10">
        <f t="shared" si="0"/>
        <v>5801386</v>
      </c>
      <c r="U5" s="10">
        <f t="shared" si="0"/>
        <v>5749677</v>
      </c>
      <c r="V5" s="10">
        <f t="shared" si="0"/>
        <v>5698614</v>
      </c>
      <c r="W5" s="10">
        <f t="shared" si="0"/>
        <v>5648256</v>
      </c>
      <c r="X5" s="10">
        <f t="shared" si="0"/>
        <v>5598424</v>
      </c>
      <c r="Y5" s="10">
        <f t="shared" si="0"/>
        <v>5548705</v>
      </c>
      <c r="Z5" s="10">
        <f t="shared" si="0"/>
        <v>5499404</v>
      </c>
      <c r="AA5" s="10">
        <f t="shared" si="0"/>
        <v>5450678</v>
      </c>
      <c r="AB5" s="10">
        <f t="shared" si="0"/>
        <v>5402217</v>
      </c>
      <c r="AC5" s="10">
        <f t="shared" si="0"/>
        <v>5354139</v>
      </c>
      <c r="AD5" s="10">
        <f t="shared" si="0"/>
        <v>5306434</v>
      </c>
      <c r="AE5" s="10">
        <f t="shared" si="0"/>
        <v>5258697</v>
      </c>
      <c r="AF5" s="10">
        <f t="shared" si="0"/>
        <v>5210895</v>
      </c>
      <c r="AG5" s="10">
        <f t="shared" si="0"/>
        <v>5163244</v>
      </c>
      <c r="AH5" s="10">
        <f t="shared" ref="AH5:BM5" si="1">AH7*1000</f>
        <v>5115852</v>
      </c>
      <c r="AI5" s="10">
        <f t="shared" si="1"/>
        <v>5068667</v>
      </c>
      <c r="AJ5" s="10">
        <f t="shared" si="1"/>
        <v>5021579</v>
      </c>
      <c r="AK5" s="10">
        <f t="shared" si="1"/>
        <v>4974221</v>
      </c>
      <c r="AL5" s="10">
        <f t="shared" si="1"/>
        <v>4926388</v>
      </c>
      <c r="AM5" s="10">
        <f t="shared" si="1"/>
        <v>4878501</v>
      </c>
      <c r="AN5" s="10">
        <f t="shared" si="1"/>
        <v>4830917</v>
      </c>
      <c r="AO5" s="10">
        <f t="shared" si="1"/>
        <v>4783587</v>
      </c>
      <c r="AP5" s="10">
        <f t="shared" si="1"/>
        <v>4736305</v>
      </c>
      <c r="AQ5" s="10">
        <f t="shared" si="1"/>
        <v>4689240</v>
      </c>
      <c r="AR5" s="10">
        <f t="shared" si="1"/>
        <v>4642625</v>
      </c>
      <c r="AS5" s="10">
        <f t="shared" si="1"/>
        <v>4596676</v>
      </c>
      <c r="AT5" s="10">
        <f t="shared" si="1"/>
        <v>4551628</v>
      </c>
      <c r="AU5" s="10">
        <f t="shared" si="1"/>
        <v>4507404</v>
      </c>
      <c r="AV5" s="10">
        <f t="shared" si="1"/>
        <v>4463711</v>
      </c>
      <c r="AW5" s="10">
        <f t="shared" si="1"/>
        <v>4420782</v>
      </c>
      <c r="AX5" s="10">
        <f t="shared" si="1"/>
        <v>4378825</v>
      </c>
      <c r="AY5" s="10">
        <f t="shared" si="1"/>
        <v>4337610</v>
      </c>
      <c r="AZ5" s="10">
        <f t="shared" si="1"/>
        <v>4297012</v>
      </c>
      <c r="BA5" s="10">
        <f t="shared" si="1"/>
        <v>4257602</v>
      </c>
      <c r="BB5" s="10">
        <f t="shared" si="1"/>
        <v>4219621</v>
      </c>
      <c r="BC5" s="10">
        <f t="shared" si="1"/>
        <v>4182529.0000000005</v>
      </c>
      <c r="BD5" s="10">
        <f t="shared" si="1"/>
        <v>4146350.0000000005</v>
      </c>
      <c r="BE5" s="10">
        <f t="shared" si="1"/>
        <v>4111020.9999999995</v>
      </c>
      <c r="BF5" s="10">
        <f t="shared" si="1"/>
        <v>4076463</v>
      </c>
      <c r="BG5" s="10">
        <f t="shared" si="1"/>
        <v>4043363</v>
      </c>
      <c r="BH5" s="10">
        <f t="shared" si="1"/>
        <v>4011530</v>
      </c>
      <c r="BI5" s="10">
        <f t="shared" si="1"/>
        <v>3980550</v>
      </c>
      <c r="BJ5" s="10">
        <f t="shared" si="1"/>
        <v>3950392</v>
      </c>
      <c r="BK5" s="10">
        <f t="shared" si="1"/>
        <v>3920959</v>
      </c>
      <c r="BL5" s="10">
        <f t="shared" si="1"/>
        <v>3892425</v>
      </c>
      <c r="BM5" s="10">
        <f t="shared" si="1"/>
        <v>3864743</v>
      </c>
      <c r="BN5" s="10">
        <f t="shared" ref="BN5:BZ5" si="2">BN7*1000</f>
        <v>3837896</v>
      </c>
      <c r="BO5" s="10">
        <f t="shared" si="2"/>
        <v>3811654</v>
      </c>
      <c r="BP5" s="10">
        <f t="shared" si="2"/>
        <v>3785849</v>
      </c>
      <c r="BQ5" s="10">
        <f t="shared" si="2"/>
        <v>3760385</v>
      </c>
      <c r="BR5" s="10">
        <f t="shared" si="2"/>
        <v>3735003</v>
      </c>
      <c r="BS5" s="10">
        <f t="shared" si="2"/>
        <v>3709666</v>
      </c>
      <c r="BT5" s="10">
        <f t="shared" si="2"/>
        <v>3684337</v>
      </c>
      <c r="BU5" s="10">
        <f t="shared" si="2"/>
        <v>3659088</v>
      </c>
      <c r="BV5" s="10">
        <f t="shared" si="2"/>
        <v>3633686</v>
      </c>
      <c r="BW5" s="10">
        <f t="shared" si="2"/>
        <v>3608077</v>
      </c>
      <c r="BX5" s="10">
        <f t="shared" si="2"/>
        <v>3582563</v>
      </c>
      <c r="BY5" s="10">
        <f t="shared" si="2"/>
        <v>3556979</v>
      </c>
      <c r="BZ5" s="10">
        <f t="shared" si="2"/>
        <v>3531198</v>
      </c>
    </row>
    <row r="6" spans="1:79" ht="17.25" x14ac:dyDescent="0.3">
      <c r="A6" s="3" t="s">
        <v>77</v>
      </c>
      <c r="B6" s="4">
        <f>6757.23*1000</f>
        <v>6757230</v>
      </c>
      <c r="C6" s="4">
        <v>6712476</v>
      </c>
      <c r="D6" s="4">
        <v>6662618</v>
      </c>
      <c r="E6" s="4">
        <v>6608734</v>
      </c>
      <c r="F6" s="4">
        <v>6551893</v>
      </c>
      <c r="G6" s="4">
        <v>6492714</v>
      </c>
      <c r="H6" s="4">
        <v>6431457</v>
      </c>
      <c r="I6" s="4">
        <v>6368989</v>
      </c>
      <c r="J6" s="4">
        <v>6306231</v>
      </c>
      <c r="K6" s="4">
        <v>6242734</v>
      </c>
      <c r="L6" s="4">
        <v>6178436</v>
      </c>
      <c r="M6" s="4">
        <v>6113885</v>
      </c>
      <c r="N6" s="4">
        <v>6048609</v>
      </c>
      <c r="O6" s="4">
        <v>5982650</v>
      </c>
      <c r="P6" s="3">
        <v>5917139</v>
      </c>
      <c r="Q6" s="3">
        <v>5851752</v>
      </c>
      <c r="R6" s="3">
        <v>5786302</v>
      </c>
      <c r="S6" s="3">
        <v>5721425</v>
      </c>
      <c r="T6" s="3">
        <v>5657297</v>
      </c>
      <c r="U6" s="3">
        <v>5593895</v>
      </c>
      <c r="V6" s="3">
        <v>5531001</v>
      </c>
      <c r="W6" s="3">
        <v>5468743</v>
      </c>
      <c r="X6" s="3">
        <v>5406973</v>
      </c>
      <c r="Y6" s="3">
        <v>5345310</v>
      </c>
      <c r="Z6" s="3">
        <v>5284084</v>
      </c>
      <c r="AA6" s="3">
        <v>5223503</v>
      </c>
      <c r="AB6" s="3">
        <v>5163281</v>
      </c>
      <c r="AC6" s="3">
        <v>5103534</v>
      </c>
      <c r="AD6" s="3">
        <v>5044329</v>
      </c>
      <c r="AE6" s="3">
        <v>4985309</v>
      </c>
      <c r="AF6" s="3">
        <v>4926471</v>
      </c>
      <c r="AG6" s="3">
        <v>4868096</v>
      </c>
      <c r="AH6" s="3">
        <v>4810266</v>
      </c>
      <c r="AI6" s="3">
        <v>4752971</v>
      </c>
      <c r="AJ6" s="3">
        <v>4696199</v>
      </c>
      <c r="AK6" s="3">
        <v>4639691</v>
      </c>
      <c r="AL6" s="3">
        <v>4583318</v>
      </c>
      <c r="AM6" s="3">
        <v>4527481</v>
      </c>
      <c r="AN6" s="3">
        <v>4472574</v>
      </c>
      <c r="AO6" s="3">
        <v>4418525</v>
      </c>
      <c r="AP6" s="3">
        <v>4365123</v>
      </c>
      <c r="AQ6" s="3">
        <v>4312587</v>
      </c>
      <c r="AR6" s="3">
        <v>4261105</v>
      </c>
      <c r="AS6" s="3">
        <v>4210816</v>
      </c>
      <c r="AT6" s="3">
        <v>4161912.0000000005</v>
      </c>
      <c r="AU6" s="3">
        <v>4114256.9999999995</v>
      </c>
      <c r="AV6" s="3">
        <v>4067492</v>
      </c>
      <c r="AW6" s="3">
        <v>4021809</v>
      </c>
      <c r="AX6" s="3">
        <v>3977400</v>
      </c>
      <c r="AY6" s="3">
        <v>3933952</v>
      </c>
      <c r="AZ6" s="3">
        <v>3891273</v>
      </c>
      <c r="BA6" s="3">
        <v>3849977</v>
      </c>
      <c r="BB6" s="3">
        <v>3810256</v>
      </c>
      <c r="BC6" s="3">
        <v>3771520</v>
      </c>
      <c r="BD6" s="3">
        <v>3733807</v>
      </c>
      <c r="BE6" s="3">
        <v>3697028</v>
      </c>
      <c r="BF6" s="3">
        <v>3661109</v>
      </c>
      <c r="BG6" s="3">
        <v>3626738</v>
      </c>
      <c r="BH6" s="3">
        <v>3593606</v>
      </c>
      <c r="BI6" s="3">
        <v>3561220</v>
      </c>
      <c r="BJ6" s="3">
        <v>3529478</v>
      </c>
      <c r="BK6" s="3">
        <v>3498240</v>
      </c>
      <c r="BL6" s="3">
        <v>3467644</v>
      </c>
      <c r="BM6" s="3">
        <v>3437584</v>
      </c>
      <c r="BN6" s="3">
        <v>3408052</v>
      </c>
      <c r="BO6" s="3">
        <v>3378838</v>
      </c>
      <c r="BP6" s="3">
        <v>3349838</v>
      </c>
      <c r="BQ6" s="3">
        <v>3320990</v>
      </c>
      <c r="BR6" s="3">
        <v>3292084</v>
      </c>
      <c r="BS6" s="3">
        <v>3263215</v>
      </c>
      <c r="BT6" s="3">
        <v>3234412</v>
      </c>
      <c r="BU6" s="3">
        <v>3205805</v>
      </c>
      <c r="BV6" s="3">
        <v>3177262</v>
      </c>
      <c r="BW6" s="3">
        <v>3148733</v>
      </c>
      <c r="BX6" s="3">
        <v>3120553</v>
      </c>
      <c r="BY6" s="3">
        <v>3092548</v>
      </c>
      <c r="BZ6" s="3">
        <v>3064622</v>
      </c>
    </row>
    <row r="7" spans="1:79" ht="17.25" hidden="1" x14ac:dyDescent="0.3">
      <c r="A7" s="1"/>
      <c r="B7" s="1">
        <v>6757.6890000000003</v>
      </c>
      <c r="C7" s="1">
        <v>6714.56</v>
      </c>
      <c r="D7" s="1">
        <v>6667.6589999999997</v>
      </c>
      <c r="E7" s="1">
        <v>6617.8280000000004</v>
      </c>
      <c r="F7" s="1">
        <v>6566.018</v>
      </c>
      <c r="G7" s="1">
        <v>6512.7860000000001</v>
      </c>
      <c r="H7" s="1">
        <v>6458.2430000000004</v>
      </c>
      <c r="I7" s="1">
        <v>6403.1530000000002</v>
      </c>
      <c r="J7" s="1">
        <v>6348.3990000000003</v>
      </c>
      <c r="K7" s="1">
        <v>6293.47</v>
      </c>
      <c r="L7" s="1">
        <v>6238.2120000000004</v>
      </c>
      <c r="M7" s="1">
        <v>6183.1139999999996</v>
      </c>
      <c r="N7" s="1">
        <v>6127.6689999999999</v>
      </c>
      <c r="O7" s="1">
        <v>6071.89</v>
      </c>
      <c r="P7" s="1">
        <v>6016.8459999999995</v>
      </c>
      <c r="Q7" s="1">
        <v>5962.1930000000002</v>
      </c>
      <c r="R7" s="1">
        <v>5907.7280000000001</v>
      </c>
      <c r="S7" s="1">
        <v>5854.0559999999996</v>
      </c>
      <c r="T7" s="1">
        <v>5801.3860000000004</v>
      </c>
      <c r="U7" s="1">
        <v>5749.6769999999997</v>
      </c>
      <c r="V7" s="1">
        <v>5698.6139999999996</v>
      </c>
      <c r="W7" s="1">
        <v>5648.2560000000003</v>
      </c>
      <c r="X7" s="1">
        <v>5598.424</v>
      </c>
      <c r="Y7" s="1">
        <v>5548.7049999999999</v>
      </c>
      <c r="Z7" s="1">
        <v>5499.4040000000005</v>
      </c>
      <c r="AA7" s="1">
        <v>5450.6779999999999</v>
      </c>
      <c r="AB7" s="1">
        <v>5402.2169999999996</v>
      </c>
      <c r="AC7" s="1">
        <v>5354.1390000000001</v>
      </c>
      <c r="AD7" s="1">
        <v>5306.4340000000002</v>
      </c>
      <c r="AE7" s="1">
        <v>5258.6970000000001</v>
      </c>
      <c r="AF7" s="1">
        <v>5210.8950000000004</v>
      </c>
      <c r="AG7" s="1">
        <v>5163.2439999999997</v>
      </c>
      <c r="AH7" s="1">
        <v>5115.8519999999999</v>
      </c>
      <c r="AI7" s="1">
        <v>5068.6670000000004</v>
      </c>
      <c r="AJ7" s="1">
        <v>5021.5789999999997</v>
      </c>
      <c r="AK7" s="1">
        <v>4974.2209999999995</v>
      </c>
      <c r="AL7" s="1">
        <v>4926.3879999999999</v>
      </c>
      <c r="AM7" s="1">
        <v>4878.5010000000002</v>
      </c>
      <c r="AN7" s="1">
        <v>4830.9170000000004</v>
      </c>
      <c r="AO7" s="1">
        <v>4783.5870000000004</v>
      </c>
      <c r="AP7" s="1">
        <v>4736.3050000000003</v>
      </c>
      <c r="AQ7" s="1">
        <v>4689.24</v>
      </c>
      <c r="AR7" s="1">
        <v>4642.625</v>
      </c>
      <c r="AS7" s="1">
        <v>4596.6760000000004</v>
      </c>
      <c r="AT7" s="1">
        <v>4551.6279999999997</v>
      </c>
      <c r="AU7" s="1">
        <v>4507.4040000000005</v>
      </c>
      <c r="AV7" s="1">
        <v>4463.7110000000002</v>
      </c>
      <c r="AW7" s="1">
        <v>4420.7820000000002</v>
      </c>
      <c r="AX7" s="1">
        <v>4378.8249999999998</v>
      </c>
      <c r="AY7" s="1">
        <v>4337.6099999999997</v>
      </c>
      <c r="AZ7" s="1">
        <v>4297.0119999999997</v>
      </c>
      <c r="BA7" s="1">
        <v>4257.6019999999999</v>
      </c>
      <c r="BB7" s="1">
        <v>4219.6210000000001</v>
      </c>
      <c r="BC7" s="1">
        <v>4182.5290000000005</v>
      </c>
      <c r="BD7" s="1">
        <v>4146.3500000000004</v>
      </c>
      <c r="BE7" s="1">
        <v>4111.0209999999997</v>
      </c>
      <c r="BF7" s="1">
        <v>4076.4630000000002</v>
      </c>
      <c r="BG7" s="1">
        <v>4043.3629999999998</v>
      </c>
      <c r="BH7" s="1">
        <v>4011.53</v>
      </c>
      <c r="BI7" s="1">
        <v>3980.55</v>
      </c>
      <c r="BJ7" s="1">
        <v>3950.3919999999998</v>
      </c>
      <c r="BK7" s="1">
        <v>3920.9589999999998</v>
      </c>
      <c r="BL7" s="1">
        <v>3892.4250000000002</v>
      </c>
      <c r="BM7" s="1">
        <v>3864.7429999999999</v>
      </c>
      <c r="BN7" s="1">
        <v>3837.8960000000002</v>
      </c>
      <c r="BO7" s="1">
        <v>3811.654</v>
      </c>
      <c r="BP7" s="1">
        <v>3785.8490000000002</v>
      </c>
      <c r="BQ7" s="1">
        <v>3760.3850000000002</v>
      </c>
      <c r="BR7" s="1">
        <v>3735.0030000000002</v>
      </c>
      <c r="BS7" s="1">
        <v>3709.6660000000002</v>
      </c>
      <c r="BT7" s="1">
        <v>3684.337</v>
      </c>
      <c r="BU7" s="1">
        <v>3659.0880000000002</v>
      </c>
      <c r="BV7" s="1">
        <v>3633.6860000000001</v>
      </c>
      <c r="BW7" s="1">
        <v>3608.0770000000002</v>
      </c>
      <c r="BX7" s="1">
        <v>3582.5630000000001</v>
      </c>
      <c r="BY7" s="1">
        <v>3556.9789999999998</v>
      </c>
      <c r="BZ7" s="1">
        <v>3531.1979999999999</v>
      </c>
    </row>
    <row r="8" spans="1:79" ht="17.25" x14ac:dyDescent="0.3">
      <c r="A8" s="5" t="s">
        <v>80</v>
      </c>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row>
    <row r="9" spans="1:79" ht="17.25" x14ac:dyDescent="0.3">
      <c r="A9" s="6" t="s">
        <v>81</v>
      </c>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row>
    <row r="10" spans="1:79" ht="17.25" x14ac:dyDescent="0.3">
      <c r="A10" s="5" t="s">
        <v>83</v>
      </c>
    </row>
  </sheetData>
  <pageMargins left="0.7" right="0.7" top="0.75" bottom="0.75" header="0.3" footer="0.3"/>
  <headerFooter>
    <oddFooter>&amp;R_x000D_&amp;1#&amp;"Calibri"&amp;10&amp;K000000 Official Use Only</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F9C8F-2140-44B0-B5DB-49B7EAA54F79}">
  <dimension ref="A1"/>
  <sheetViews>
    <sheetView workbookViewId="0">
      <selection activeCell="H4" sqref="H4"/>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WBG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Desislava Enikova Nikolova</dc:creator>
  <cp:lastModifiedBy>Desislava Enikova Nikolova</cp:lastModifiedBy>
  <dcterms:created xsi:type="dcterms:W3CDTF">2025-07-22T13:41:07Z</dcterms:created>
  <dcterms:modified xsi:type="dcterms:W3CDTF">2025-10-29T14:55:18Z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2025-07-24T15:14:33Z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c8371374-1d3b-4907-af95-b52bcc3f2049</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