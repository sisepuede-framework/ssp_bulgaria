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1"/>
  </bookViews>
  <sheets>
    <sheet r:id="rId1" sheetId="1" name="Sheet1"/>
    <sheet r:id="rId2" sheetId="2" name="new_gdp_and_pop"/>
  </sheets>
  <calcPr fullCalcOnLoad="1"/>
</workbook>
</file>

<file path=xl/sharedStrings.xml><?xml version="1.0" encoding="utf-8"?>
<sst xmlns="http://schemas.openxmlformats.org/spreadsheetml/2006/main" count="10" uniqueCount="10">
  <si>
    <t>year</t>
  </si>
  <si>
    <t>gdp_growth_rate</t>
  </si>
  <si>
    <t>population</t>
  </si>
  <si>
    <t>GDP Baseline(no-reform) scenario, LTGM, 1/</t>
  </si>
  <si>
    <t>Eurostat baseline (updated 06/2023)</t>
  </si>
  <si>
    <t>UN medium scenario (updated 16.10.2024)</t>
  </si>
  <si>
    <t>UN no-change scenario (updated 16.10.2024)</t>
  </si>
  <si>
    <t xml:space="preserve">Note: The UN “no change” scenario has the same assumption about international migration (median net migration of several thousand distinct trajectories of each demographic component derived using the probabilistic model of the variability in changes over time) as the medium scenario but differs from the latter by having constant fertility and mortality. </t>
  </si>
  <si>
    <r>
      <t>UN Medium scenario projection</t>
    </r>
    <r>
      <rPr>
        <i/>
        <sz val="13"/>
        <color theme="1"/>
        <rFont val="Aptos Narrow"/>
        <family val="2"/>
      </rPr>
      <t>: In projecting future levels of fertility, mortality and international migration, probabilistic methods were used to reflect the uncertainty of the projections based on the historical variability of changes in each variable. The method takes into account the past experience of each country, while also reflecting uncertainty about future changes based on the past experience of other countries under similar conditions. The medium scenario projection corresponds to the mean fertility and mortality and median net migration of several thousand distinct trajectories of each demographic component derived using the probabilistic model of the variability in changes over time. Prediction intervals reflect the spread in the distribution of outcomes across the projected trajectories and thus provide an assessment of the uncertainty inherent in the medium scenario projection.</t>
    </r>
  </si>
  <si>
    <t>1/ GDP growth for 2024 - actual data; GDP growth for 2025-2027 - latest MFMOD projection produced in September 2025.</t>
  </si>
</sst>
</file>

<file path=xl/styles.xml><?xml version="1.0" encoding="utf-8"?>
<styleSheet xmlns="http://schemas.openxmlformats.org/spreadsheetml/2006/main" xmlns:x14ac="http://schemas.microsoft.com/office/spreadsheetml/2009/9/ac" xmlns:mc="http://schemas.openxmlformats.org/markup-compatibility/2006" mc:Ignorable="x14ac">
  <numFmts count="2">
    <numFmt numFmtId="164" formatCode="#,##0.00%"/>
    <numFmt numFmtId="165" formatCode="#,##0.0000%"/>
  </numFmts>
  <fonts count="6" x14ac:knownFonts="1">
    <font>
      <sz val="11"/>
      <color theme="1"/>
      <name val="Calibri"/>
      <family val="2"/>
      <scheme val="minor"/>
    </font>
    <font>
      <sz val="11"/>
      <color theme="1"/>
      <name val="Calibri"/>
      <family val="2"/>
    </font>
    <font>
      <sz val="13"/>
      <color theme="1"/>
      <name val="Aptos Narrow"/>
      <family val="2"/>
    </font>
    <font>
      <b/>
      <sz val="8"/>
      <color rgb="FF000000"/>
      <name val="Tahoma"/>
      <family val="2"/>
    </font>
    <font>
      <i/>
      <sz val="13"/>
      <color theme="1"/>
      <name val="Aptos Narrow"/>
      <family val="2"/>
    </font>
    <font>
      <i/>
      <u/>
      <sz val="13"/>
      <color theme="1"/>
      <name val="Aptos Narrow"/>
      <family val="2"/>
    </font>
  </fonts>
  <fills count="4">
    <fill>
      <patternFill patternType="none"/>
    </fill>
    <fill>
      <patternFill patternType="gray125"/>
    </fill>
    <fill>
      <patternFill patternType="solid">
        <fgColor rgb="FFffff00"/>
      </patternFill>
    </fill>
    <fill>
      <patternFill patternType="solid">
        <fgColor rgb="FFffffff"/>
      </patternFill>
    </fill>
  </fills>
  <borders count="6">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style="medium">
        <color rgb="FFbfbfbf"/>
      </right>
      <top style="medium">
        <color rgb="FFbfbfbf"/>
      </top>
      <bottom style="medium">
        <color rgb="FFbfbfbf"/>
      </bottom>
      <diagonal/>
    </border>
    <border>
      <left style="thin">
        <color rgb="FFc6c6c6"/>
      </left>
      <right style="thin">
        <color rgb="FFc6c6c6"/>
      </right>
      <top style="thin">
        <color rgb="FFc6c6c6"/>
      </top>
      <bottom style="thin">
        <color rgb="FFc6c6c6"/>
      </bottom>
      <diagonal/>
    </border>
    <border>
      <left style="thin">
        <color rgb="FFc6c6c6"/>
      </left>
      <right style="medium">
        <color rgb="FFbfbfbf"/>
      </right>
      <top style="medium">
        <color rgb="FFbfbfbf"/>
      </top>
      <bottom style="medium">
        <color rgb="FFbfbfbf"/>
      </bottom>
      <diagonal/>
    </border>
  </borders>
  <cellStyleXfs count="1">
    <xf numFmtId="0" fontId="0" fillId="0" borderId="0"/>
  </cellStyleXfs>
  <cellXfs count="29">
    <xf xfId="0" numFmtId="0" borderId="0" fontId="0" fillId="0"/>
    <xf xfId="0" numFmtId="3" applyNumberFormat="1" borderId="0" fontId="0" fillId="0" applyAlignment="1">
      <alignment horizontal="right"/>
    </xf>
    <xf xfId="0" numFmtId="164" applyNumberFormat="1" borderId="0" fontId="0" fillId="0" applyAlignment="1">
      <alignment horizontal="right"/>
    </xf>
    <xf xfId="0" numFmtId="4" applyNumberFormat="1" borderId="1" applyBorder="1" fontId="1" applyFont="1" fillId="0" applyAlignment="1">
      <alignment horizontal="left"/>
    </xf>
    <xf xfId="0" numFmtId="3" applyNumberFormat="1" borderId="1" applyBorder="1" fontId="1" applyFont="1" fillId="0" applyAlignment="1">
      <alignment horizontal="right"/>
    </xf>
    <xf xfId="0" numFmtId="164" applyNumberFormat="1" borderId="1" applyBorder="1" fontId="1" applyFont="1" fillId="0" applyAlignment="1">
      <alignment horizontal="right"/>
    </xf>
    <xf xfId="0" numFmtId="4" applyNumberFormat="1" borderId="1" applyBorder="1" fontId="2" applyFont="1" fillId="0" applyAlignment="1">
      <alignment horizontal="right"/>
    </xf>
    <xf xfId="0" numFmtId="3" applyNumberFormat="1" borderId="0" fontId="0" fillId="0" applyAlignment="1">
      <alignment horizontal="right"/>
    </xf>
    <xf xfId="0" numFmtId="164" applyNumberFormat="1" borderId="0" fontId="0" fillId="0" applyAlignment="1">
      <alignment horizontal="right"/>
    </xf>
    <xf xfId="0" numFmtId="4" applyNumberFormat="1" borderId="0" fontId="0" fillId="0" applyAlignment="1">
      <alignment horizontal="right"/>
    </xf>
    <xf xfId="0" numFmtId="0" borderId="0" fontId="0" fillId="0" applyAlignment="1">
      <alignment horizontal="general"/>
    </xf>
    <xf xfId="0" numFmtId="4" applyNumberFormat="1" borderId="0" fontId="0" fillId="0" applyAlignment="1">
      <alignment horizontal="general"/>
    </xf>
    <xf xfId="0" numFmtId="0" borderId="2" applyBorder="1" fontId="2" applyFont="1" fillId="0" applyAlignment="1">
      <alignment horizontal="left"/>
    </xf>
    <xf xfId="0" numFmtId="4" applyNumberFormat="1" borderId="2" applyBorder="1" fontId="2" applyFont="1" fillId="0" applyAlignment="1">
      <alignment horizontal="right"/>
    </xf>
    <xf xfId="0" numFmtId="0" borderId="3" applyBorder="1" fontId="3" applyFont="1" fillId="0" applyAlignment="1">
      <alignment horizontal="right"/>
    </xf>
    <xf xfId="0" numFmtId="0" borderId="2" applyBorder="1" fontId="2" applyFont="1" fillId="2" applyFill="1" applyAlignment="1">
      <alignment horizontal="left"/>
    </xf>
    <xf xfId="0" numFmtId="165" applyNumberFormat="1" borderId="4" applyBorder="1" fontId="1" applyFont="1" fillId="2" applyFill="1" applyAlignment="1">
      <alignment horizontal="right"/>
    </xf>
    <xf xfId="0" numFmtId="164" applyNumberFormat="1" borderId="4" applyBorder="1" fontId="1" applyFont="1" fillId="2" applyFill="1" applyAlignment="1">
      <alignment horizontal="right"/>
    </xf>
    <xf xfId="0" numFmtId="4" applyNumberFormat="1" borderId="2" applyBorder="1" fontId="2" applyFont="1" fillId="2" applyFill="1" applyAlignment="1">
      <alignment horizontal="right"/>
    </xf>
    <xf xfId="0" numFmtId="0" borderId="5" applyBorder="1" fontId="3" applyFont="1" fillId="2" applyFill="1" applyAlignment="1">
      <alignment horizontal="right"/>
    </xf>
    <xf xfId="0" numFmtId="0" borderId="2" applyBorder="1" fontId="2" applyFont="1" fillId="3" applyFill="1" applyAlignment="1">
      <alignment horizontal="left"/>
    </xf>
    <xf xfId="0" numFmtId="3" applyNumberFormat="1" borderId="2" applyBorder="1" fontId="2" applyFont="1" fillId="0" applyAlignment="1">
      <alignment horizontal="right"/>
    </xf>
    <xf xfId="0" numFmtId="3" applyNumberFormat="1" borderId="2" applyBorder="1" fontId="2" applyFont="1" fillId="2" applyFill="1" applyAlignment="1">
      <alignment horizontal="right"/>
    </xf>
    <xf xfId="0" numFmtId="0" borderId="1" applyBorder="1" fontId="2" applyFont="1" fillId="0" applyAlignment="1">
      <alignment horizontal="left"/>
    </xf>
    <xf xfId="0" numFmtId="0" borderId="1" applyBorder="1" fontId="4" applyFont="1" fillId="0" applyAlignment="1">
      <alignment horizontal="left"/>
    </xf>
    <xf xfId="0" numFmtId="4" applyNumberFormat="1" borderId="1" applyBorder="1" fontId="2" applyFont="1" fillId="0" applyAlignment="1">
      <alignment horizontal="left"/>
    </xf>
    <xf xfId="0" numFmtId="0" borderId="1" applyBorder="1" fontId="5" applyFont="1" fillId="0" applyAlignment="1">
      <alignment horizontal="left"/>
    </xf>
    <xf xfId="0" numFmtId="0" borderId="0" fontId="0" fillId="0" applyAlignment="1">
      <alignment horizontal="general"/>
    </xf>
    <xf xfId="0" numFmtId="4" applyNumberFormat="1" borderId="0" fontId="0" fillId="0" applyAlignment="1">
      <alignment horizontal="general"/>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sharedStrings.xml" Type="http://schemas.openxmlformats.org/officeDocument/2006/relationships/sharedStrings" Id="rId3"/><Relationship Target="styles.xml" Type="http://schemas.openxmlformats.org/officeDocument/2006/relationships/styles" Id="rId4"/><Relationship Target="theme/theme1.xml" Type="http://schemas.openxmlformats.org/officeDocument/2006/relationships/theme" Id="rId5"/></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A10"/>
  <sheetViews>
    <sheetView workbookViewId="0"/>
  </sheetViews>
  <sheetFormatPr defaultRowHeight="15" x14ac:dyDescent="0.25"/>
  <cols>
    <col min="1" max="1" style="27" width="47.57642857142857" customWidth="1" bestFit="1"/>
    <col min="2" max="2" style="28" width="11.576428571428572" customWidth="1" bestFit="1"/>
    <col min="3" max="3" style="28" width="10.290714285714287" customWidth="1" bestFit="1"/>
    <col min="4" max="4" style="28" width="11.576428571428572" customWidth="1" bestFit="1"/>
    <col min="5" max="5" style="28" width="11.576428571428572" customWidth="1" bestFit="1"/>
    <col min="6" max="6" style="28" width="11.576428571428572" customWidth="1" bestFit="1"/>
    <col min="7" max="7" style="28" width="11.576428571428572" customWidth="1" bestFit="1"/>
    <col min="8" max="8" style="28" width="11.576428571428572" customWidth="1" bestFit="1"/>
    <col min="9" max="9" style="28" width="11.576428571428572" customWidth="1" bestFit="1"/>
    <col min="10" max="10" style="28" width="11.576428571428572" customWidth="1" bestFit="1"/>
    <col min="11" max="11" style="28" width="10.290714285714287" customWidth="1" bestFit="1"/>
    <col min="12" max="12" style="28" width="11.576428571428572" customWidth="1" bestFit="1"/>
    <col min="13" max="13" style="28" width="11.576428571428572" customWidth="1" bestFit="1"/>
    <col min="14" max="14" style="28" width="11.576428571428572" customWidth="1" bestFit="1"/>
    <col min="15" max="15" style="28" width="10.290714285714287" customWidth="1" bestFit="1"/>
    <col min="16" max="16" style="28" width="10.290714285714287" customWidth="1" bestFit="1"/>
    <col min="17" max="17" style="28" width="10.290714285714287" customWidth="1" bestFit="1"/>
    <col min="18" max="18" style="28" width="10.290714285714287" customWidth="1" bestFit="1"/>
    <col min="19" max="19" style="28" width="10.290714285714287" customWidth="1" bestFit="1"/>
    <col min="20" max="20" style="28" width="10.290714285714287" customWidth="1" bestFit="1"/>
    <col min="21" max="21" style="28" width="10.290714285714287" customWidth="1" bestFit="1"/>
    <col min="22" max="22" style="28" width="10.290714285714287" customWidth="1" bestFit="1"/>
    <col min="23" max="23" style="28" width="10.290714285714287" customWidth="1" bestFit="1"/>
    <col min="24" max="24" style="28" width="10.290714285714287" customWidth="1" bestFit="1"/>
    <col min="25" max="25" style="28" width="10.290714285714287" customWidth="1" bestFit="1"/>
    <col min="26" max="26" style="28" width="10.290714285714287" customWidth="1" bestFit="1"/>
    <col min="27" max="27" style="28" width="10.290714285714287" customWidth="1" bestFit="1"/>
    <col min="28" max="28" style="28" width="10.290714285714287" customWidth="1" bestFit="1"/>
    <col min="29" max="29" style="28" width="10.290714285714287" customWidth="1" bestFit="1"/>
    <col min="30" max="30" style="28" width="10.290714285714287" customWidth="1" bestFit="1"/>
    <col min="31" max="31" style="28" width="10.290714285714287" customWidth="1" bestFit="1"/>
    <col min="32" max="32" style="28" width="10.290714285714287" customWidth="1" bestFit="1"/>
    <col min="33" max="33" style="28" width="10.290714285714287" customWidth="1" bestFit="1"/>
    <col min="34" max="34" style="28" width="10.290714285714287" customWidth="1" bestFit="1"/>
    <col min="35" max="35" style="28" width="10.290714285714287" customWidth="1" bestFit="1"/>
    <col min="36" max="36" style="28" width="10.290714285714287" customWidth="1" bestFit="1"/>
    <col min="37" max="37" style="28" width="10.290714285714287" customWidth="1" bestFit="1"/>
    <col min="38" max="38" style="28" width="10.290714285714287" customWidth="1" bestFit="1"/>
    <col min="39" max="39" style="28" width="10.290714285714287" customWidth="1" bestFit="1"/>
    <col min="40" max="40" style="28" width="10.290714285714287" customWidth="1" bestFit="1"/>
    <col min="41" max="41" style="28" width="10.290714285714287" customWidth="1" bestFit="1"/>
    <col min="42" max="42" style="28" width="10.290714285714287" customWidth="1" bestFit="1"/>
    <col min="43" max="43" style="28" width="10.290714285714287" customWidth="1" bestFit="1"/>
    <col min="44" max="44" style="28" width="10.290714285714287" customWidth="1" bestFit="1"/>
    <col min="45" max="45" style="28" width="10.290714285714287" customWidth="1" bestFit="1"/>
    <col min="46" max="46" style="28" width="10.290714285714287" customWidth="1" bestFit="1"/>
    <col min="47" max="47" style="28" width="10.290714285714287" customWidth="1" bestFit="1"/>
    <col min="48" max="48" style="28" width="10.290714285714287" customWidth="1" bestFit="1"/>
    <col min="49" max="49" style="28" width="10.290714285714287" customWidth="1" bestFit="1"/>
    <col min="50" max="50" style="28" width="10.290714285714287" customWidth="1" bestFit="1"/>
    <col min="51" max="51" style="28" width="10.290714285714287" customWidth="1" bestFit="1"/>
    <col min="52" max="52" style="28" width="10.290714285714287" customWidth="1" bestFit="1"/>
    <col min="53" max="53" style="28" width="10.290714285714287" customWidth="1" bestFit="1"/>
    <col min="54" max="54" style="28" width="10.290714285714287" customWidth="1" bestFit="1"/>
    <col min="55" max="55" style="28" width="10.290714285714287" customWidth="1" bestFit="1"/>
    <col min="56" max="56" style="28" width="10.290714285714287" customWidth="1" bestFit="1"/>
    <col min="57" max="57" style="28" width="10.290714285714287" customWidth="1" bestFit="1"/>
    <col min="58" max="58" style="28" width="10.290714285714287" customWidth="1" bestFit="1"/>
    <col min="59" max="59" style="28" width="10.290714285714287" customWidth="1" bestFit="1"/>
    <col min="60" max="60" style="28" width="10.290714285714287" customWidth="1" bestFit="1"/>
    <col min="61" max="61" style="28" width="10.290714285714287" customWidth="1" bestFit="1"/>
    <col min="62" max="62" style="28" width="10.290714285714287" customWidth="1" bestFit="1"/>
    <col min="63" max="63" style="28" width="10.290714285714287" customWidth="1" bestFit="1"/>
    <col min="64" max="64" style="28" width="10.290714285714287" customWidth="1" bestFit="1"/>
    <col min="65" max="65" style="28" width="10.290714285714287" customWidth="1" bestFit="1"/>
    <col min="66" max="66" style="28" width="10.290714285714287" customWidth="1" bestFit="1"/>
    <col min="67" max="67" style="28" width="10.290714285714287" customWidth="1" bestFit="1"/>
    <col min="68" max="68" style="28" width="10.290714285714287" customWidth="1" bestFit="1"/>
    <col min="69" max="69" style="28" width="10.290714285714287" customWidth="1" bestFit="1"/>
    <col min="70" max="70" style="28" width="10.290714285714287" customWidth="1" bestFit="1"/>
    <col min="71" max="71" style="28" width="10.290714285714287" customWidth="1" bestFit="1"/>
    <col min="72" max="72" style="28" width="10.290714285714287" customWidth="1" bestFit="1"/>
    <col min="73" max="73" style="28" width="10.290714285714287" customWidth="1" bestFit="1"/>
    <col min="74" max="74" style="28" width="10.290714285714287" customWidth="1" bestFit="1"/>
    <col min="75" max="75" style="28" width="10.290714285714287" customWidth="1" bestFit="1"/>
    <col min="76" max="76" style="28" width="10.290714285714287" customWidth="1" bestFit="1"/>
    <col min="77" max="77" style="28" width="10.290714285714287" customWidth="1" bestFit="1"/>
    <col min="78" max="78" style="28" width="10.290714285714287" customWidth="1" bestFit="1"/>
    <col min="79" max="79" style="27" width="12.43357142857143" customWidth="1" bestFit="1"/>
  </cols>
  <sheetData>
    <row x14ac:dyDescent="0.25" r="1" customHeight="1" ht="17.25">
      <c r="A1" s="10"/>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0"/>
    </row>
    <row x14ac:dyDescent="0.25" r="2" customHeight="1" ht="21.75">
      <c r="A2" s="12"/>
      <c r="B2" s="13">
        <v>2024</v>
      </c>
      <c r="C2" s="13">
        <v>2025</v>
      </c>
      <c r="D2" s="13">
        <v>2026</v>
      </c>
      <c r="E2" s="13">
        <v>2027</v>
      </c>
      <c r="F2" s="13">
        <v>2028</v>
      </c>
      <c r="G2" s="13">
        <v>2029</v>
      </c>
      <c r="H2" s="13">
        <v>2030</v>
      </c>
      <c r="I2" s="13">
        <v>2031</v>
      </c>
      <c r="J2" s="13">
        <v>2032</v>
      </c>
      <c r="K2" s="13">
        <v>2033</v>
      </c>
      <c r="L2" s="13">
        <v>2034</v>
      </c>
      <c r="M2" s="13">
        <v>2035</v>
      </c>
      <c r="N2" s="13">
        <v>2036</v>
      </c>
      <c r="O2" s="13">
        <v>2037</v>
      </c>
      <c r="P2" s="13">
        <v>2038</v>
      </c>
      <c r="Q2" s="13">
        <v>2039</v>
      </c>
      <c r="R2" s="13">
        <v>2040</v>
      </c>
      <c r="S2" s="13">
        <v>2041</v>
      </c>
      <c r="T2" s="13">
        <v>2042</v>
      </c>
      <c r="U2" s="13">
        <v>2043</v>
      </c>
      <c r="V2" s="13">
        <v>2044</v>
      </c>
      <c r="W2" s="13">
        <v>2045</v>
      </c>
      <c r="X2" s="13">
        <v>2046</v>
      </c>
      <c r="Y2" s="13">
        <v>2047</v>
      </c>
      <c r="Z2" s="13">
        <v>2048</v>
      </c>
      <c r="AA2" s="13">
        <v>2049</v>
      </c>
      <c r="AB2" s="13">
        <v>2050</v>
      </c>
      <c r="AC2" s="13">
        <v>2051</v>
      </c>
      <c r="AD2" s="13">
        <v>2052</v>
      </c>
      <c r="AE2" s="13">
        <v>2053</v>
      </c>
      <c r="AF2" s="13">
        <v>2054</v>
      </c>
      <c r="AG2" s="13">
        <v>2055</v>
      </c>
      <c r="AH2" s="13">
        <v>2056</v>
      </c>
      <c r="AI2" s="13">
        <v>2057</v>
      </c>
      <c r="AJ2" s="13">
        <v>2058</v>
      </c>
      <c r="AK2" s="13">
        <v>2059</v>
      </c>
      <c r="AL2" s="13">
        <v>2060</v>
      </c>
      <c r="AM2" s="13">
        <v>2061</v>
      </c>
      <c r="AN2" s="13">
        <v>2062</v>
      </c>
      <c r="AO2" s="13">
        <v>2063</v>
      </c>
      <c r="AP2" s="13">
        <v>2064</v>
      </c>
      <c r="AQ2" s="13">
        <v>2065</v>
      </c>
      <c r="AR2" s="13">
        <v>2066</v>
      </c>
      <c r="AS2" s="13">
        <v>2067</v>
      </c>
      <c r="AT2" s="13">
        <v>2068</v>
      </c>
      <c r="AU2" s="13">
        <v>2069</v>
      </c>
      <c r="AV2" s="13">
        <v>2070</v>
      </c>
      <c r="AW2" s="13">
        <v>2071</v>
      </c>
      <c r="AX2" s="13">
        <v>2072</v>
      </c>
      <c r="AY2" s="13">
        <v>2073</v>
      </c>
      <c r="AZ2" s="13">
        <v>2074</v>
      </c>
      <c r="BA2" s="13">
        <v>2075</v>
      </c>
      <c r="BB2" s="13">
        <v>2076</v>
      </c>
      <c r="BC2" s="13">
        <v>2077</v>
      </c>
      <c r="BD2" s="13">
        <v>2078</v>
      </c>
      <c r="BE2" s="13">
        <v>2079</v>
      </c>
      <c r="BF2" s="13">
        <v>2080</v>
      </c>
      <c r="BG2" s="13">
        <v>2081</v>
      </c>
      <c r="BH2" s="13">
        <v>2082</v>
      </c>
      <c r="BI2" s="13">
        <v>2083</v>
      </c>
      <c r="BJ2" s="13">
        <v>2084</v>
      </c>
      <c r="BK2" s="13">
        <v>2085</v>
      </c>
      <c r="BL2" s="13">
        <v>2086</v>
      </c>
      <c r="BM2" s="13">
        <v>2087</v>
      </c>
      <c r="BN2" s="13">
        <v>2088</v>
      </c>
      <c r="BO2" s="13">
        <v>2089</v>
      </c>
      <c r="BP2" s="13">
        <v>2090</v>
      </c>
      <c r="BQ2" s="13">
        <v>2091</v>
      </c>
      <c r="BR2" s="13">
        <v>2092</v>
      </c>
      <c r="BS2" s="13">
        <v>2093</v>
      </c>
      <c r="BT2" s="13">
        <v>2094</v>
      </c>
      <c r="BU2" s="13">
        <v>2095</v>
      </c>
      <c r="BV2" s="13">
        <v>2096</v>
      </c>
      <c r="BW2" s="13">
        <v>2097</v>
      </c>
      <c r="BX2" s="13">
        <v>2098</v>
      </c>
      <c r="BY2" s="13">
        <v>2099</v>
      </c>
      <c r="BZ2" s="13">
        <v>2100</v>
      </c>
      <c r="CA2" s="14"/>
    </row>
    <row x14ac:dyDescent="0.25" r="3" customHeight="1" ht="21">
      <c r="A3" s="15" t="s">
        <v>3</v>
      </c>
      <c r="B3" s="16">
        <v>0.034</v>
      </c>
      <c r="C3" s="17">
        <v>0.03</v>
      </c>
      <c r="D3" s="17">
        <v>0.029</v>
      </c>
      <c r="E3" s="17">
        <v>0.031</v>
      </c>
      <c r="F3" s="17">
        <v>0.022804463698546273</v>
      </c>
      <c r="G3" s="17">
        <v>0.02076249603923208</v>
      </c>
      <c r="H3" s="17">
        <v>0.020771899934221905</v>
      </c>
      <c r="I3" s="17">
        <v>0.01989053068908131</v>
      </c>
      <c r="J3" s="17">
        <v>0.019863959302521383</v>
      </c>
      <c r="K3" s="17">
        <v>0.019714625164777067</v>
      </c>
      <c r="L3" s="17">
        <v>0.01935093647217978</v>
      </c>
      <c r="M3" s="17">
        <v>0.018939045533518772</v>
      </c>
      <c r="N3" s="17">
        <v>0.017827541917824874</v>
      </c>
      <c r="O3" s="17">
        <v>0.01760349537541983</v>
      </c>
      <c r="P3" s="17">
        <v>0.017273754756915505</v>
      </c>
      <c r="Q3" s="17">
        <v>0.016693808593941428</v>
      </c>
      <c r="R3" s="17">
        <v>0.016572124677108224</v>
      </c>
      <c r="S3" s="17">
        <v>0.015106187951547279</v>
      </c>
      <c r="T3" s="17">
        <v>0.01487515686318397</v>
      </c>
      <c r="U3" s="17">
        <v>0.014657476292763594</v>
      </c>
      <c r="V3" s="17">
        <v>0.014402717374643936</v>
      </c>
      <c r="W3" s="17">
        <v>0.014367616111589099</v>
      </c>
      <c r="X3" s="17">
        <v>0.013481837943981612</v>
      </c>
      <c r="Y3" s="17">
        <v>0.013568756129292092</v>
      </c>
      <c r="Z3" s="17">
        <v>0.01336960497403017</v>
      </c>
      <c r="AA3" s="17">
        <v>0.012960663809999717</v>
      </c>
      <c r="AB3" s="17">
        <v>0.012381407236470077</v>
      </c>
      <c r="AC3" s="17">
        <v>0.018820625525543783</v>
      </c>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9"/>
    </row>
    <row x14ac:dyDescent="0.25" r="4" customHeight="1" ht="21">
      <c r="A4" s="20" t="s">
        <v>4</v>
      </c>
      <c r="B4" s="21">
        <v>6918672</v>
      </c>
      <c r="C4" s="21">
        <v>6860349</v>
      </c>
      <c r="D4" s="21">
        <v>6802438</v>
      </c>
      <c r="E4" s="21">
        <v>6744339</v>
      </c>
      <c r="F4" s="21">
        <v>6685753</v>
      </c>
      <c r="G4" s="21">
        <v>6629192</v>
      </c>
      <c r="H4" s="21">
        <v>6574153</v>
      </c>
      <c r="I4" s="21">
        <v>6520799</v>
      </c>
      <c r="J4" s="21">
        <v>6469093</v>
      </c>
      <c r="K4" s="21">
        <v>6419371</v>
      </c>
      <c r="L4" s="21">
        <v>6372608</v>
      </c>
      <c r="M4" s="21">
        <v>6333689</v>
      </c>
      <c r="N4" s="21">
        <v>6295791</v>
      </c>
      <c r="O4" s="21">
        <v>6258695</v>
      </c>
      <c r="P4" s="21">
        <v>6222478</v>
      </c>
      <c r="Q4" s="21">
        <v>6188057</v>
      </c>
      <c r="R4" s="21">
        <v>6155181</v>
      </c>
      <c r="S4" s="21">
        <v>6123000</v>
      </c>
      <c r="T4" s="21">
        <v>6091727</v>
      </c>
      <c r="U4" s="21">
        <v>6061097</v>
      </c>
      <c r="V4" s="21">
        <v>6030905</v>
      </c>
      <c r="W4" s="21">
        <v>6001378</v>
      </c>
      <c r="X4" s="21">
        <v>5971941</v>
      </c>
      <c r="Y4" s="21">
        <v>5942884</v>
      </c>
      <c r="Z4" s="21">
        <v>5914113</v>
      </c>
      <c r="AA4" s="21">
        <v>5885720</v>
      </c>
      <c r="AB4" s="21">
        <v>5857619</v>
      </c>
      <c r="AC4" s="21">
        <v>5829653</v>
      </c>
      <c r="AD4" s="21">
        <v>5802057</v>
      </c>
      <c r="AE4" s="21">
        <v>5774417</v>
      </c>
      <c r="AF4" s="21">
        <v>5747135</v>
      </c>
      <c r="AG4" s="21">
        <v>5719739</v>
      </c>
      <c r="AH4" s="21">
        <v>5692072</v>
      </c>
      <c r="AI4" s="21">
        <v>5663896</v>
      </c>
      <c r="AJ4" s="21">
        <v>5635318</v>
      </c>
      <c r="AK4" s="21">
        <v>5606566</v>
      </c>
      <c r="AL4" s="21">
        <v>5577599</v>
      </c>
      <c r="AM4" s="21">
        <v>5548327</v>
      </c>
      <c r="AN4" s="21">
        <v>5519364</v>
      </c>
      <c r="AO4" s="21">
        <v>5490261</v>
      </c>
      <c r="AP4" s="21">
        <v>5461787</v>
      </c>
      <c r="AQ4" s="21">
        <v>5434519</v>
      </c>
      <c r="AR4" s="21">
        <v>5407825</v>
      </c>
      <c r="AS4" s="21">
        <v>5381520</v>
      </c>
      <c r="AT4" s="21">
        <v>5355969</v>
      </c>
      <c r="AU4" s="21">
        <v>5331321</v>
      </c>
      <c r="AV4" s="21">
        <v>5307774</v>
      </c>
      <c r="AW4" s="21">
        <v>5285325</v>
      </c>
      <c r="AX4" s="21">
        <v>5263974</v>
      </c>
      <c r="AY4" s="21">
        <v>5243725</v>
      </c>
      <c r="AZ4" s="21">
        <v>5224730</v>
      </c>
      <c r="BA4" s="21">
        <v>5207097</v>
      </c>
      <c r="BB4" s="21">
        <v>5190244</v>
      </c>
      <c r="BC4" s="21">
        <v>5174411</v>
      </c>
      <c r="BD4" s="21">
        <v>5159594</v>
      </c>
      <c r="BE4" s="21">
        <v>5145717</v>
      </c>
      <c r="BF4" s="21">
        <v>5133224</v>
      </c>
      <c r="BG4" s="21">
        <v>5121743</v>
      </c>
      <c r="BH4" s="21">
        <v>5111421</v>
      </c>
      <c r="BI4" s="21">
        <v>5102175</v>
      </c>
      <c r="BJ4" s="21">
        <v>5093994</v>
      </c>
      <c r="BK4" s="21">
        <v>5086931</v>
      </c>
      <c r="BL4" s="21">
        <v>5080875</v>
      </c>
      <c r="BM4" s="21">
        <v>5075940</v>
      </c>
      <c r="BN4" s="21">
        <v>5072047</v>
      </c>
      <c r="BO4" s="21">
        <v>5069015</v>
      </c>
      <c r="BP4" s="21">
        <v>5066952</v>
      </c>
      <c r="BQ4" s="21">
        <v>5065672</v>
      </c>
      <c r="BR4" s="21">
        <v>5065080</v>
      </c>
      <c r="BS4" s="21">
        <v>5065033</v>
      </c>
      <c r="BT4" s="21">
        <v>5065457</v>
      </c>
      <c r="BU4" s="21">
        <v>5066236</v>
      </c>
      <c r="BV4" s="21">
        <v>5067262</v>
      </c>
      <c r="BW4" s="21">
        <v>5068408</v>
      </c>
      <c r="BX4" s="21">
        <v>5069652</v>
      </c>
      <c r="BY4" s="21">
        <v>5070900</v>
      </c>
      <c r="BZ4" s="21">
        <v>5072147</v>
      </c>
      <c r="CA4" s="14"/>
    </row>
    <row x14ac:dyDescent="0.25" r="5" customHeight="1" ht="21">
      <c r="A5" s="15" t="s">
        <v>5</v>
      </c>
      <c r="B5" s="22">
        <f>B7*1000</f>
      </c>
      <c r="C5" s="22">
        <f>C7*1000</f>
      </c>
      <c r="D5" s="22">
        <f>D7*1000</f>
      </c>
      <c r="E5" s="22">
        <f>E7*1000</f>
      </c>
      <c r="F5" s="22">
        <f>F7*1000</f>
      </c>
      <c r="G5" s="22">
        <f>G7*1000</f>
      </c>
      <c r="H5" s="22">
        <f>H7*1000</f>
      </c>
      <c r="I5" s="22">
        <f>I7*1000</f>
      </c>
      <c r="J5" s="22">
        <f>J7*1000</f>
      </c>
      <c r="K5" s="22">
        <f>K7*1000</f>
      </c>
      <c r="L5" s="22">
        <f>L7*1000</f>
      </c>
      <c r="M5" s="22">
        <f>M7*1000</f>
      </c>
      <c r="N5" s="22">
        <f>N7*1000</f>
      </c>
      <c r="O5" s="22">
        <f>O7*1000</f>
      </c>
      <c r="P5" s="22">
        <f>P7*1000</f>
      </c>
      <c r="Q5" s="22">
        <f>Q7*1000</f>
      </c>
      <c r="R5" s="22">
        <f>R7*1000</f>
      </c>
      <c r="S5" s="22">
        <f>S7*1000</f>
      </c>
      <c r="T5" s="22">
        <f>T7*1000</f>
      </c>
      <c r="U5" s="22">
        <f>U7*1000</f>
      </c>
      <c r="V5" s="22">
        <f>V7*1000</f>
      </c>
      <c r="W5" s="22">
        <f>W7*1000</f>
      </c>
      <c r="X5" s="22">
        <f>X7*1000</f>
      </c>
      <c r="Y5" s="22">
        <f>Y7*1000</f>
      </c>
      <c r="Z5" s="22">
        <f>Z7*1000</f>
      </c>
      <c r="AA5" s="22">
        <f>AA7*1000</f>
      </c>
      <c r="AB5" s="22">
        <f>AB7*1000</f>
      </c>
      <c r="AC5" s="22">
        <f>AC7*1000</f>
      </c>
      <c r="AD5" s="22">
        <f>AD7*1000</f>
      </c>
      <c r="AE5" s="22">
        <f>AE7*1000</f>
      </c>
      <c r="AF5" s="22">
        <f>AF7*1000</f>
      </c>
      <c r="AG5" s="22">
        <f>AG7*1000</f>
      </c>
      <c r="AH5" s="22">
        <f>AH7*1000</f>
      </c>
      <c r="AI5" s="22">
        <f>AI7*1000</f>
      </c>
      <c r="AJ5" s="22">
        <f>AJ7*1000</f>
      </c>
      <c r="AK5" s="22">
        <f>AK7*1000</f>
      </c>
      <c r="AL5" s="22">
        <f>AL7*1000</f>
      </c>
      <c r="AM5" s="22">
        <f>AM7*1000</f>
      </c>
      <c r="AN5" s="22">
        <f>AN7*1000</f>
      </c>
      <c r="AO5" s="22">
        <f>AO7*1000</f>
      </c>
      <c r="AP5" s="22">
        <f>AP7*1000</f>
      </c>
      <c r="AQ5" s="22">
        <f>AQ7*1000</f>
      </c>
      <c r="AR5" s="22">
        <f>AR7*1000</f>
      </c>
      <c r="AS5" s="22">
        <f>AS7*1000</f>
      </c>
      <c r="AT5" s="22">
        <f>AT7*1000</f>
      </c>
      <c r="AU5" s="22">
        <f>AU7*1000</f>
      </c>
      <c r="AV5" s="22">
        <f>AV7*1000</f>
      </c>
      <c r="AW5" s="22">
        <f>AW7*1000</f>
      </c>
      <c r="AX5" s="22">
        <f>AX7*1000</f>
      </c>
      <c r="AY5" s="22">
        <f>AY7*1000</f>
      </c>
      <c r="AZ5" s="22">
        <f>AZ7*1000</f>
      </c>
      <c r="BA5" s="22">
        <f>BA7*1000</f>
      </c>
      <c r="BB5" s="22">
        <f>BB7*1000</f>
      </c>
      <c r="BC5" s="18">
        <f>BC7*1000</f>
      </c>
      <c r="BD5" s="18">
        <f>BD7*1000</f>
      </c>
      <c r="BE5" s="18">
        <f>BE7*1000</f>
      </c>
      <c r="BF5" s="22">
        <f>BF7*1000</f>
      </c>
      <c r="BG5" s="22">
        <f>BG7*1000</f>
      </c>
      <c r="BH5" s="22">
        <f>BH7*1000</f>
      </c>
      <c r="BI5" s="22">
        <f>BI7*1000</f>
      </c>
      <c r="BJ5" s="22">
        <f>BJ7*1000</f>
      </c>
      <c r="BK5" s="22">
        <f>BK7*1000</f>
      </c>
      <c r="BL5" s="22">
        <f>BL7*1000</f>
      </c>
      <c r="BM5" s="22">
        <f>BM7*1000</f>
      </c>
      <c r="BN5" s="22">
        <f>BN7*1000</f>
      </c>
      <c r="BO5" s="22">
        <f>BO7*1000</f>
      </c>
      <c r="BP5" s="22">
        <f>BP7*1000</f>
      </c>
      <c r="BQ5" s="22">
        <f>BQ7*1000</f>
      </c>
      <c r="BR5" s="22">
        <f>BR7*1000</f>
      </c>
      <c r="BS5" s="22">
        <f>BS7*1000</f>
      </c>
      <c r="BT5" s="22">
        <f>BT7*1000</f>
      </c>
      <c r="BU5" s="22">
        <f>BU7*1000</f>
      </c>
      <c r="BV5" s="22">
        <f>BV7*1000</f>
      </c>
      <c r="BW5" s="22">
        <f>BW7*1000</f>
      </c>
      <c r="BX5" s="22">
        <f>BX7*1000</f>
      </c>
      <c r="BY5" s="22">
        <f>BY7*1000</f>
      </c>
      <c r="BZ5" s="22">
        <f>BZ7*1000</f>
      </c>
      <c r="CA5" s="10"/>
    </row>
    <row x14ac:dyDescent="0.25" r="6" customHeight="1" ht="21.75">
      <c r="A6" s="12" t="s">
        <v>6</v>
      </c>
      <c r="B6" s="21">
        <f>6757.23*1000</f>
      </c>
      <c r="C6" s="21">
        <v>6712476</v>
      </c>
      <c r="D6" s="21">
        <v>6662618</v>
      </c>
      <c r="E6" s="21">
        <v>6608734</v>
      </c>
      <c r="F6" s="21">
        <v>6551893</v>
      </c>
      <c r="G6" s="21">
        <v>6492714</v>
      </c>
      <c r="H6" s="21">
        <v>6431457</v>
      </c>
      <c r="I6" s="21">
        <v>6368989</v>
      </c>
      <c r="J6" s="21">
        <v>6306231</v>
      </c>
      <c r="K6" s="21">
        <v>6242734</v>
      </c>
      <c r="L6" s="21">
        <v>6178436</v>
      </c>
      <c r="M6" s="21">
        <v>6113885</v>
      </c>
      <c r="N6" s="21">
        <v>6048609</v>
      </c>
      <c r="O6" s="21">
        <v>5982650</v>
      </c>
      <c r="P6" s="21">
        <v>5917139</v>
      </c>
      <c r="Q6" s="21">
        <v>5851752</v>
      </c>
      <c r="R6" s="21">
        <v>5786302</v>
      </c>
      <c r="S6" s="21">
        <v>5721425</v>
      </c>
      <c r="T6" s="21">
        <v>5657297</v>
      </c>
      <c r="U6" s="21">
        <v>5593895</v>
      </c>
      <c r="V6" s="21">
        <v>5531001</v>
      </c>
      <c r="W6" s="21">
        <v>5468743</v>
      </c>
      <c r="X6" s="21">
        <v>5406973</v>
      </c>
      <c r="Y6" s="21">
        <v>5345310</v>
      </c>
      <c r="Z6" s="21">
        <v>5284084</v>
      </c>
      <c r="AA6" s="21">
        <v>5223503</v>
      </c>
      <c r="AB6" s="21">
        <v>5163281</v>
      </c>
      <c r="AC6" s="21">
        <v>5103534</v>
      </c>
      <c r="AD6" s="21">
        <v>5044329</v>
      </c>
      <c r="AE6" s="21">
        <v>4985309</v>
      </c>
      <c r="AF6" s="21">
        <v>4926471</v>
      </c>
      <c r="AG6" s="21">
        <v>4868096</v>
      </c>
      <c r="AH6" s="21">
        <v>4810266</v>
      </c>
      <c r="AI6" s="21">
        <v>4752971</v>
      </c>
      <c r="AJ6" s="21">
        <v>4696199</v>
      </c>
      <c r="AK6" s="21">
        <v>4639691</v>
      </c>
      <c r="AL6" s="21">
        <v>4583318</v>
      </c>
      <c r="AM6" s="21">
        <v>4527481</v>
      </c>
      <c r="AN6" s="21">
        <v>4472574</v>
      </c>
      <c r="AO6" s="21">
        <v>4418525</v>
      </c>
      <c r="AP6" s="21">
        <v>4365123</v>
      </c>
      <c r="AQ6" s="21">
        <v>4312587</v>
      </c>
      <c r="AR6" s="21">
        <v>4261105</v>
      </c>
      <c r="AS6" s="21">
        <v>4210816</v>
      </c>
      <c r="AT6" s="13">
        <v>4161912.0000000005</v>
      </c>
      <c r="AU6" s="13">
        <v>4114256.9999999995</v>
      </c>
      <c r="AV6" s="21">
        <v>4067492</v>
      </c>
      <c r="AW6" s="21">
        <v>4021809</v>
      </c>
      <c r="AX6" s="21">
        <v>3977400</v>
      </c>
      <c r="AY6" s="21">
        <v>3933952</v>
      </c>
      <c r="AZ6" s="21">
        <v>3891273</v>
      </c>
      <c r="BA6" s="21">
        <v>3849977</v>
      </c>
      <c r="BB6" s="21">
        <v>3810256</v>
      </c>
      <c r="BC6" s="21">
        <v>3771520</v>
      </c>
      <c r="BD6" s="21">
        <v>3733807</v>
      </c>
      <c r="BE6" s="21">
        <v>3697028</v>
      </c>
      <c r="BF6" s="21">
        <v>3661109</v>
      </c>
      <c r="BG6" s="21">
        <v>3626738</v>
      </c>
      <c r="BH6" s="21">
        <v>3593606</v>
      </c>
      <c r="BI6" s="21">
        <v>3561220</v>
      </c>
      <c r="BJ6" s="21">
        <v>3529478</v>
      </c>
      <c r="BK6" s="21">
        <v>3498240</v>
      </c>
      <c r="BL6" s="21">
        <v>3467644</v>
      </c>
      <c r="BM6" s="21">
        <v>3437584</v>
      </c>
      <c r="BN6" s="21">
        <v>3408052</v>
      </c>
      <c r="BO6" s="21">
        <v>3378838</v>
      </c>
      <c r="BP6" s="21">
        <v>3349838</v>
      </c>
      <c r="BQ6" s="21">
        <v>3320990</v>
      </c>
      <c r="BR6" s="21">
        <v>3292084</v>
      </c>
      <c r="BS6" s="21">
        <v>3263215</v>
      </c>
      <c r="BT6" s="21">
        <v>3234412</v>
      </c>
      <c r="BU6" s="21">
        <v>3205805</v>
      </c>
      <c r="BV6" s="21">
        <v>3177262</v>
      </c>
      <c r="BW6" s="21">
        <v>3148733</v>
      </c>
      <c r="BX6" s="21">
        <v>3120553</v>
      </c>
      <c r="BY6" s="21">
        <v>3092548</v>
      </c>
      <c r="BZ6" s="21">
        <v>3064622</v>
      </c>
      <c r="CA6" s="10"/>
    </row>
    <row x14ac:dyDescent="0.25" r="7" customHeight="1" ht="21">
      <c r="A7" s="23"/>
      <c r="B7" s="6">
        <v>6757.689</v>
      </c>
      <c r="C7" s="6">
        <v>6714.56</v>
      </c>
      <c r="D7" s="6">
        <v>6667.659</v>
      </c>
      <c r="E7" s="6">
        <v>6617.828</v>
      </c>
      <c r="F7" s="6">
        <v>6566.018</v>
      </c>
      <c r="G7" s="6">
        <v>6512.786</v>
      </c>
      <c r="H7" s="6">
        <v>6458.243</v>
      </c>
      <c r="I7" s="6">
        <v>6403.153</v>
      </c>
      <c r="J7" s="6">
        <v>6348.399</v>
      </c>
      <c r="K7" s="6">
        <v>6293.47</v>
      </c>
      <c r="L7" s="6">
        <v>6238.212</v>
      </c>
      <c r="M7" s="6">
        <v>6183.114</v>
      </c>
      <c r="N7" s="6">
        <v>6127.669</v>
      </c>
      <c r="O7" s="6">
        <v>6071.89</v>
      </c>
      <c r="P7" s="6">
        <v>6016.846</v>
      </c>
      <c r="Q7" s="6">
        <v>5962.193</v>
      </c>
      <c r="R7" s="6">
        <v>5907.728</v>
      </c>
      <c r="S7" s="6">
        <v>5854.056</v>
      </c>
      <c r="T7" s="6">
        <v>5801.386</v>
      </c>
      <c r="U7" s="6">
        <v>5749.677</v>
      </c>
      <c r="V7" s="6">
        <v>5698.614</v>
      </c>
      <c r="W7" s="6">
        <v>5648.256</v>
      </c>
      <c r="X7" s="6">
        <v>5598.424</v>
      </c>
      <c r="Y7" s="6">
        <v>5548.705</v>
      </c>
      <c r="Z7" s="6">
        <v>5499.404</v>
      </c>
      <c r="AA7" s="6">
        <v>5450.678</v>
      </c>
      <c r="AB7" s="6">
        <v>5402.217</v>
      </c>
      <c r="AC7" s="6">
        <v>5354.139</v>
      </c>
      <c r="AD7" s="6">
        <v>5306.434</v>
      </c>
      <c r="AE7" s="6">
        <v>5258.697</v>
      </c>
      <c r="AF7" s="6">
        <v>5210.895</v>
      </c>
      <c r="AG7" s="6">
        <v>5163.244</v>
      </c>
      <c r="AH7" s="6">
        <v>5115.852</v>
      </c>
      <c r="AI7" s="6">
        <v>5068.667</v>
      </c>
      <c r="AJ7" s="6">
        <v>5021.579</v>
      </c>
      <c r="AK7" s="6">
        <v>4974.221</v>
      </c>
      <c r="AL7" s="6">
        <v>4926.388</v>
      </c>
      <c r="AM7" s="6">
        <v>4878.501</v>
      </c>
      <c r="AN7" s="6">
        <v>4830.917</v>
      </c>
      <c r="AO7" s="6">
        <v>4783.587</v>
      </c>
      <c r="AP7" s="6">
        <v>4736.305</v>
      </c>
      <c r="AQ7" s="6">
        <v>4689.24</v>
      </c>
      <c r="AR7" s="6">
        <v>4642.625</v>
      </c>
      <c r="AS7" s="6">
        <v>4596.676</v>
      </c>
      <c r="AT7" s="6">
        <v>4551.628</v>
      </c>
      <c r="AU7" s="6">
        <v>4507.404</v>
      </c>
      <c r="AV7" s="6">
        <v>4463.711</v>
      </c>
      <c r="AW7" s="6">
        <v>4420.782</v>
      </c>
      <c r="AX7" s="6">
        <v>4378.825</v>
      </c>
      <c r="AY7" s="6">
        <v>4337.61</v>
      </c>
      <c r="AZ7" s="6">
        <v>4297.012</v>
      </c>
      <c r="BA7" s="6">
        <v>4257.602</v>
      </c>
      <c r="BB7" s="6">
        <v>4219.621</v>
      </c>
      <c r="BC7" s="6">
        <v>4182.529</v>
      </c>
      <c r="BD7" s="6">
        <v>4146.35</v>
      </c>
      <c r="BE7" s="6">
        <v>4111.021</v>
      </c>
      <c r="BF7" s="6">
        <v>4076.463</v>
      </c>
      <c r="BG7" s="6">
        <v>4043.363</v>
      </c>
      <c r="BH7" s="6">
        <v>4011.53</v>
      </c>
      <c r="BI7" s="6">
        <v>3980.55</v>
      </c>
      <c r="BJ7" s="6">
        <v>3950.392</v>
      </c>
      <c r="BK7" s="6">
        <v>3920.959</v>
      </c>
      <c r="BL7" s="6">
        <v>3892.425</v>
      </c>
      <c r="BM7" s="6">
        <v>3864.743</v>
      </c>
      <c r="BN7" s="6">
        <v>3837.896</v>
      </c>
      <c r="BO7" s="6">
        <v>3811.654</v>
      </c>
      <c r="BP7" s="6">
        <v>3785.849</v>
      </c>
      <c r="BQ7" s="6">
        <v>3760.385</v>
      </c>
      <c r="BR7" s="6">
        <v>3735.003</v>
      </c>
      <c r="BS7" s="6">
        <v>3709.666</v>
      </c>
      <c r="BT7" s="6">
        <v>3684.337</v>
      </c>
      <c r="BU7" s="6">
        <v>3659.088</v>
      </c>
      <c r="BV7" s="6">
        <v>3633.686</v>
      </c>
      <c r="BW7" s="6">
        <v>3608.077</v>
      </c>
      <c r="BX7" s="6">
        <v>3582.563</v>
      </c>
      <c r="BY7" s="6">
        <v>3556.979</v>
      </c>
      <c r="BZ7" s="6">
        <v>3531.198</v>
      </c>
      <c r="CA7" s="10"/>
    </row>
    <row x14ac:dyDescent="0.25" r="8" customHeight="1" ht="21">
      <c r="A8" s="24" t="s">
        <v>7</v>
      </c>
      <c r="B8" s="25"/>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10"/>
    </row>
    <row x14ac:dyDescent="0.25" r="9" customHeight="1" ht="21">
      <c r="A9" s="26" t="s">
        <v>8</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5"/>
      <c r="BA9" s="25"/>
      <c r="BB9" s="25"/>
      <c r="BC9" s="25"/>
      <c r="BD9" s="25"/>
      <c r="BE9" s="25"/>
      <c r="BF9" s="25"/>
      <c r="BG9" s="25"/>
      <c r="BH9" s="25"/>
      <c r="BI9" s="25"/>
      <c r="BJ9" s="25"/>
      <c r="BK9" s="25"/>
      <c r="BL9" s="25"/>
      <c r="BM9" s="25"/>
      <c r="BN9" s="25"/>
      <c r="BO9" s="25"/>
      <c r="BP9" s="25"/>
      <c r="BQ9" s="25"/>
      <c r="BR9" s="25"/>
      <c r="BS9" s="25"/>
      <c r="BT9" s="25"/>
      <c r="BU9" s="25"/>
      <c r="BV9" s="25"/>
      <c r="BW9" s="25"/>
      <c r="BX9" s="25"/>
      <c r="BY9" s="25"/>
      <c r="BZ9" s="25"/>
      <c r="CA9" s="10"/>
    </row>
    <row x14ac:dyDescent="0.25" r="10" customHeight="1" ht="21">
      <c r="A10" s="24" t="s">
        <v>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29"/>
  <sheetViews>
    <sheetView workbookViewId="0" tabSelected="1"/>
  </sheetViews>
  <sheetFormatPr defaultRowHeight="15" x14ac:dyDescent="0.25"/>
  <cols>
    <col min="1" max="1" style="7" width="8.862142857142858" customWidth="1" bestFit="1"/>
    <col min="2" max="2" style="8" width="13.290714285714287" customWidth="1" bestFit="1"/>
    <col min="3" max="3" style="9" width="14.576428571428572" customWidth="1" bestFit="1"/>
  </cols>
  <sheetData>
    <row x14ac:dyDescent="0.25" r="1" customHeight="1" ht="17.25">
      <c r="A1" s="1" t="s">
        <v>0</v>
      </c>
      <c r="B1" s="2" t="s">
        <v>1</v>
      </c>
      <c r="C1" s="3" t="s">
        <v>2</v>
      </c>
    </row>
    <row x14ac:dyDescent="0.25" r="2" customHeight="1" ht="17.25">
      <c r="A2" s="4">
        <v>2024</v>
      </c>
      <c r="B2" s="5">
        <v>0.034</v>
      </c>
      <c r="C2" s="6">
        <v>6918672</v>
      </c>
    </row>
    <row x14ac:dyDescent="0.25" r="3" customHeight="1" ht="17.25">
      <c r="A3" s="4">
        <v>2025</v>
      </c>
      <c r="B3" s="5">
        <v>0.03</v>
      </c>
      <c r="C3" s="6">
        <v>6860349</v>
      </c>
    </row>
    <row x14ac:dyDescent="0.25" r="4" customHeight="1" ht="17.25">
      <c r="A4" s="4">
        <v>2026</v>
      </c>
      <c r="B4" s="5">
        <v>0.029</v>
      </c>
      <c r="C4" s="6">
        <v>6802438</v>
      </c>
    </row>
    <row x14ac:dyDescent="0.25" r="5" customHeight="1" ht="17.25">
      <c r="A5" s="4">
        <v>2027</v>
      </c>
      <c r="B5" s="5">
        <v>0.031</v>
      </c>
      <c r="C5" s="6">
        <v>6744339</v>
      </c>
    </row>
    <row x14ac:dyDescent="0.25" r="6" customHeight="1" ht="17.25">
      <c r="A6" s="4">
        <v>2028</v>
      </c>
      <c r="B6" s="5">
        <v>0.022804463698546273</v>
      </c>
      <c r="C6" s="6">
        <v>6685753</v>
      </c>
    </row>
    <row x14ac:dyDescent="0.25" r="7" customHeight="1" ht="17.25">
      <c r="A7" s="4">
        <v>2029</v>
      </c>
      <c r="B7" s="5">
        <v>0.02076249603923208</v>
      </c>
      <c r="C7" s="6">
        <v>6629192</v>
      </c>
    </row>
    <row x14ac:dyDescent="0.25" r="8" customHeight="1" ht="17.25">
      <c r="A8" s="4">
        <v>2030</v>
      </c>
      <c r="B8" s="5">
        <v>0.020771899934221905</v>
      </c>
      <c r="C8" s="6">
        <v>6574153</v>
      </c>
    </row>
    <row x14ac:dyDescent="0.25" r="9" customHeight="1" ht="17.25">
      <c r="A9" s="4">
        <v>2031</v>
      </c>
      <c r="B9" s="5">
        <v>0.01989053068908131</v>
      </c>
      <c r="C9" s="6">
        <v>6520799</v>
      </c>
    </row>
    <row x14ac:dyDescent="0.25" r="10" customHeight="1" ht="17.25">
      <c r="A10" s="4">
        <v>2032</v>
      </c>
      <c r="B10" s="5">
        <v>0.019863959302521383</v>
      </c>
      <c r="C10" s="6">
        <v>6469093</v>
      </c>
    </row>
    <row x14ac:dyDescent="0.25" r="11" customHeight="1" ht="17.25">
      <c r="A11" s="4">
        <v>2033</v>
      </c>
      <c r="B11" s="5">
        <v>0.019714625164777067</v>
      </c>
      <c r="C11" s="6">
        <v>6419371</v>
      </c>
    </row>
    <row x14ac:dyDescent="0.25" r="12" customHeight="1" ht="17.25">
      <c r="A12" s="4">
        <v>2034</v>
      </c>
      <c r="B12" s="5">
        <v>0.01935093647217978</v>
      </c>
      <c r="C12" s="6">
        <v>6372608</v>
      </c>
    </row>
    <row x14ac:dyDescent="0.25" r="13" customHeight="1" ht="17.25">
      <c r="A13" s="4">
        <v>2035</v>
      </c>
      <c r="B13" s="5">
        <v>0.018939045533518772</v>
      </c>
      <c r="C13" s="6">
        <v>6333689</v>
      </c>
    </row>
    <row x14ac:dyDescent="0.25" r="14" customHeight="1" ht="17.25">
      <c r="A14" s="4">
        <v>2036</v>
      </c>
      <c r="B14" s="5">
        <v>0.017827541917824874</v>
      </c>
      <c r="C14" s="6">
        <v>6295791</v>
      </c>
    </row>
    <row x14ac:dyDescent="0.25" r="15" customHeight="1" ht="17.25">
      <c r="A15" s="4">
        <v>2037</v>
      </c>
      <c r="B15" s="5">
        <v>0.01760349537541983</v>
      </c>
      <c r="C15" s="6">
        <v>6258695</v>
      </c>
    </row>
    <row x14ac:dyDescent="0.25" r="16" customHeight="1" ht="17.25">
      <c r="A16" s="4">
        <v>2038</v>
      </c>
      <c r="B16" s="5">
        <v>0.017273754756915505</v>
      </c>
      <c r="C16" s="6">
        <v>6222478</v>
      </c>
    </row>
    <row x14ac:dyDescent="0.25" r="17" customHeight="1" ht="17.25">
      <c r="A17" s="4">
        <v>2039</v>
      </c>
      <c r="B17" s="5">
        <v>0.016693808593941428</v>
      </c>
      <c r="C17" s="6">
        <v>6188057</v>
      </c>
    </row>
    <row x14ac:dyDescent="0.25" r="18" customHeight="1" ht="17.25">
      <c r="A18" s="4">
        <v>2040</v>
      </c>
      <c r="B18" s="5">
        <v>0.016572124677108224</v>
      </c>
      <c r="C18" s="6">
        <v>6155181</v>
      </c>
    </row>
    <row x14ac:dyDescent="0.25" r="19" customHeight="1" ht="17.25">
      <c r="A19" s="4">
        <v>2041</v>
      </c>
      <c r="B19" s="5">
        <v>0.015106187951547279</v>
      </c>
      <c r="C19" s="6">
        <v>6123000</v>
      </c>
    </row>
    <row x14ac:dyDescent="0.25" r="20" customHeight="1" ht="17.25">
      <c r="A20" s="4">
        <v>2042</v>
      </c>
      <c r="B20" s="5">
        <v>0.01487515686318397</v>
      </c>
      <c r="C20" s="6">
        <v>6091727</v>
      </c>
    </row>
    <row x14ac:dyDescent="0.25" r="21" customHeight="1" ht="17.25">
      <c r="A21" s="4">
        <v>2043</v>
      </c>
      <c r="B21" s="5">
        <v>0.014657476292763594</v>
      </c>
      <c r="C21" s="6">
        <v>6061097</v>
      </c>
    </row>
    <row x14ac:dyDescent="0.25" r="22" customHeight="1" ht="17.25">
      <c r="A22" s="4">
        <v>2044</v>
      </c>
      <c r="B22" s="5">
        <v>0.014402717374643936</v>
      </c>
      <c r="C22" s="6">
        <v>6030905</v>
      </c>
    </row>
    <row x14ac:dyDescent="0.25" r="23" customHeight="1" ht="17.25">
      <c r="A23" s="4">
        <v>2045</v>
      </c>
      <c r="B23" s="5">
        <v>0.014367616111589099</v>
      </c>
      <c r="C23" s="6">
        <v>6001378</v>
      </c>
    </row>
    <row x14ac:dyDescent="0.25" r="24" customHeight="1" ht="17.25">
      <c r="A24" s="4">
        <v>2046</v>
      </c>
      <c r="B24" s="5">
        <v>0.013481837943981612</v>
      </c>
      <c r="C24" s="6">
        <v>5971941</v>
      </c>
    </row>
    <row x14ac:dyDescent="0.25" r="25" customHeight="1" ht="17.25">
      <c r="A25" s="4">
        <v>2047</v>
      </c>
      <c r="B25" s="5">
        <v>0.013568756129292092</v>
      </c>
      <c r="C25" s="6">
        <v>5942884</v>
      </c>
    </row>
    <row x14ac:dyDescent="0.25" r="26" customHeight="1" ht="17.25">
      <c r="A26" s="4">
        <v>2048</v>
      </c>
      <c r="B26" s="5">
        <v>0.01336960497403017</v>
      </c>
      <c r="C26" s="6">
        <v>5914113</v>
      </c>
    </row>
    <row x14ac:dyDescent="0.25" r="27" customHeight="1" ht="17.25">
      <c r="A27" s="4">
        <v>2049</v>
      </c>
      <c r="B27" s="5">
        <v>0.012960663809999717</v>
      </c>
      <c r="C27" s="6">
        <v>5885720</v>
      </c>
    </row>
    <row x14ac:dyDescent="0.25" r="28" customHeight="1" ht="17.25">
      <c r="A28" s="4">
        <v>2050</v>
      </c>
      <c r="B28" s="5">
        <v>0.012381407236470077</v>
      </c>
      <c r="C28" s="6">
        <v>5857619</v>
      </c>
    </row>
    <row x14ac:dyDescent="0.25" r="29" customHeight="1" ht="17.25">
      <c r="A29" s="4">
        <v>2051</v>
      </c>
      <c r="B29" s="5">
        <v>0.018820625525543783</v>
      </c>
      <c r="C29" s="6">
        <v>5829653</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Sheet1</vt:lpstr>
      <vt:lpstr>new_gdp_and_pop</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2025-11-25T19:14:45.847Z</dcterms:created>
  <dcterms:modified xsi:type="dcterms:W3CDTF">2025-11-25T19:14:45.847Z</dcterms:modified>
</cp:coreProperties>
</file>