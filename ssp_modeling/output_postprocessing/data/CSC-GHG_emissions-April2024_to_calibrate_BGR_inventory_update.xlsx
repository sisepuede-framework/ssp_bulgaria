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sisepuede_modeling/ssp_bulgaria/ssp_modeling/output_postprocessing/data/"/>
    </mc:Choice>
  </mc:AlternateContent>
  <xr:revisionPtr revIDLastSave="0" documentId="13_ncr:1_{1B84FCA7-7C7D-A041-B24C-074A0C10187D}" xr6:coauthVersionLast="47" xr6:coauthVersionMax="47" xr10:uidLastSave="{00000000-0000-0000-0000-000000000000}"/>
  <bookViews>
    <workbookView xWindow="35580" yWindow="620" windowWidth="32460" windowHeight="26860" xr2:uid="{66553DAA-2D42-684B-BAA9-59157F169426}"/>
  </bookViews>
  <sheets>
    <sheet name="CSC-GHG_emissions-April2024_to_" sheetId="1" r:id="rId1"/>
    <sheet name="bulgaria_inventory_lulucf" sheetId="5" r:id="rId2"/>
    <sheet name="bulgaria_inventory_ippu" sheetId="2" r:id="rId3"/>
    <sheet name="bulgaria_inventory_agrc" sheetId="3" r:id="rId4"/>
    <sheet name="bulgaria_inventory_waste" sheetId="4" r:id="rId5"/>
  </sheets>
  <definedNames>
    <definedName name="_xlnm._FilterDatabase" localSheetId="3" hidden="1">bulgaria_inventory_agrc!$A$1:$A$25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" l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" i="3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P2" i="5"/>
  <c r="Q2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" i="5"/>
  <c r="L2" i="5"/>
  <c r="K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R19" i="5"/>
  <c r="R20" i="5"/>
  <c r="Q16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7" i="3"/>
  <c r="Q18" i="3"/>
  <c r="Q19" i="3"/>
  <c r="Q20" i="3"/>
  <c r="Q21" i="3"/>
  <c r="Q22" i="3"/>
  <c r="Q23" i="3"/>
  <c r="Q24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" i="3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" i="4"/>
  <c r="I13" i="3"/>
  <c r="J13" i="3"/>
  <c r="K13" i="3"/>
  <c r="L13" i="3"/>
  <c r="M13" i="3"/>
  <c r="N13" i="3"/>
  <c r="O13" i="3"/>
  <c r="I14" i="3"/>
  <c r="J14" i="3"/>
  <c r="K14" i="3"/>
  <c r="L14" i="3"/>
  <c r="M14" i="3"/>
  <c r="N14" i="3"/>
  <c r="O14" i="3"/>
  <c r="I15" i="3"/>
  <c r="J15" i="3"/>
  <c r="K15" i="3"/>
  <c r="L15" i="3"/>
  <c r="M15" i="3"/>
  <c r="N15" i="3"/>
  <c r="O15" i="3"/>
  <c r="I16" i="3"/>
  <c r="J16" i="3"/>
  <c r="K16" i="3"/>
  <c r="L16" i="3"/>
  <c r="M16" i="3"/>
  <c r="N16" i="3"/>
  <c r="O16" i="3"/>
  <c r="I17" i="3"/>
  <c r="J17" i="3"/>
  <c r="K17" i="3"/>
  <c r="L17" i="3"/>
  <c r="M17" i="3"/>
  <c r="N17" i="3"/>
  <c r="O17" i="3"/>
  <c r="I18" i="3"/>
  <c r="J18" i="3"/>
  <c r="K18" i="3"/>
  <c r="L18" i="3"/>
  <c r="M18" i="3"/>
  <c r="N18" i="3"/>
  <c r="O18" i="3"/>
  <c r="I19" i="3"/>
  <c r="J19" i="3"/>
  <c r="K19" i="3"/>
  <c r="L19" i="3"/>
  <c r="M19" i="3"/>
  <c r="N19" i="3"/>
  <c r="O19" i="3"/>
  <c r="I20" i="3"/>
  <c r="J20" i="3"/>
  <c r="K20" i="3"/>
  <c r="L20" i="3"/>
  <c r="M20" i="3"/>
  <c r="N20" i="3"/>
  <c r="O20" i="3"/>
  <c r="I21" i="3"/>
  <c r="J21" i="3"/>
  <c r="K21" i="3"/>
  <c r="L21" i="3"/>
  <c r="M21" i="3"/>
  <c r="N21" i="3"/>
  <c r="O21" i="3"/>
  <c r="I22" i="3"/>
  <c r="J22" i="3"/>
  <c r="K22" i="3"/>
  <c r="L22" i="3"/>
  <c r="M22" i="3"/>
  <c r="N22" i="3"/>
  <c r="O22" i="3"/>
  <c r="I23" i="3"/>
  <c r="J23" i="3"/>
  <c r="K23" i="3"/>
  <c r="L23" i="3"/>
  <c r="M23" i="3"/>
  <c r="N23" i="3"/>
  <c r="O23" i="3"/>
  <c r="I24" i="3"/>
  <c r="J24" i="3"/>
  <c r="K24" i="3"/>
  <c r="L24" i="3"/>
  <c r="M24" i="3"/>
  <c r="N24" i="3"/>
  <c r="O24" i="3"/>
  <c r="I3" i="3"/>
  <c r="J3" i="3"/>
  <c r="K3" i="3"/>
  <c r="L3" i="3"/>
  <c r="M3" i="3"/>
  <c r="N3" i="3"/>
  <c r="O3" i="3"/>
  <c r="I4" i="3"/>
  <c r="J4" i="3"/>
  <c r="K4" i="3"/>
  <c r="L4" i="3"/>
  <c r="M4" i="3"/>
  <c r="N4" i="3"/>
  <c r="O4" i="3"/>
  <c r="I5" i="3"/>
  <c r="J5" i="3"/>
  <c r="K5" i="3"/>
  <c r="L5" i="3"/>
  <c r="M5" i="3"/>
  <c r="N5" i="3"/>
  <c r="O5" i="3"/>
  <c r="I6" i="3"/>
  <c r="J6" i="3"/>
  <c r="K6" i="3"/>
  <c r="L6" i="3"/>
  <c r="M6" i="3"/>
  <c r="N6" i="3"/>
  <c r="O6" i="3"/>
  <c r="I7" i="3"/>
  <c r="J7" i="3"/>
  <c r="K7" i="3"/>
  <c r="L7" i="3"/>
  <c r="M7" i="3"/>
  <c r="N7" i="3"/>
  <c r="O7" i="3"/>
  <c r="I8" i="3"/>
  <c r="J8" i="3"/>
  <c r="K8" i="3"/>
  <c r="L8" i="3"/>
  <c r="M8" i="3"/>
  <c r="N8" i="3"/>
  <c r="O8" i="3"/>
  <c r="I9" i="3"/>
  <c r="J9" i="3"/>
  <c r="K9" i="3"/>
  <c r="L9" i="3"/>
  <c r="M9" i="3"/>
  <c r="N9" i="3"/>
  <c r="O9" i="3"/>
  <c r="I10" i="3"/>
  <c r="J10" i="3"/>
  <c r="K10" i="3"/>
  <c r="L10" i="3"/>
  <c r="M10" i="3"/>
  <c r="N10" i="3"/>
  <c r="O10" i="3"/>
  <c r="I11" i="3"/>
  <c r="J11" i="3"/>
  <c r="K11" i="3"/>
  <c r="L11" i="3"/>
  <c r="M11" i="3"/>
  <c r="N11" i="3"/>
  <c r="O11" i="3"/>
  <c r="I12" i="3"/>
  <c r="J12" i="3"/>
  <c r="K12" i="3"/>
  <c r="L12" i="3"/>
  <c r="M12" i="3"/>
  <c r="N12" i="3"/>
  <c r="O12" i="3"/>
  <c r="O2" i="3"/>
  <c r="J2" i="3"/>
  <c r="K2" i="3"/>
  <c r="L2" i="3"/>
  <c r="M2" i="3"/>
  <c r="N2" i="3"/>
  <c r="I2" i="3"/>
  <c r="H24" i="2"/>
  <c r="M24" i="2"/>
  <c r="L2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M2" i="2"/>
  <c r="L2" i="2"/>
  <c r="K2" i="2"/>
  <c r="J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" i="2"/>
  <c r="R18" i="5" l="1"/>
  <c r="R5" i="5"/>
  <c r="R17" i="5"/>
  <c r="R6" i="5"/>
  <c r="R4" i="5"/>
  <c r="R3" i="5"/>
  <c r="R22" i="5"/>
  <c r="R8" i="5"/>
  <c r="R10" i="5"/>
  <c r="R9" i="5"/>
  <c r="R21" i="5"/>
  <c r="R15" i="5"/>
  <c r="R14" i="5"/>
  <c r="R16" i="5"/>
  <c r="R12" i="5"/>
  <c r="R11" i="5"/>
  <c r="R13" i="5"/>
  <c r="R24" i="5"/>
  <c r="R23" i="5"/>
  <c r="R7" i="5"/>
</calcChain>
</file>

<file path=xl/sharedStrings.xml><?xml version="1.0" encoding="utf-8"?>
<sst xmlns="http://schemas.openxmlformats.org/spreadsheetml/2006/main" count="486" uniqueCount="109">
  <si>
    <t>Code</t>
  </si>
  <si>
    <t>Country</t>
  </si>
  <si>
    <t>EDGAR Country Code</t>
  </si>
  <si>
    <t>Income group</t>
  </si>
  <si>
    <t>Lending category</t>
  </si>
  <si>
    <t>Region</t>
  </si>
  <si>
    <t>CSC Sector</t>
  </si>
  <si>
    <t>CSC Subsector</t>
  </si>
  <si>
    <t>Gas</t>
  </si>
  <si>
    <t>Units</t>
  </si>
  <si>
    <t>BGR</t>
  </si>
  <si>
    <t>Bulgaria</t>
  </si>
  <si>
    <t>Upper middle income</t>
  </si>
  <si>
    <t>IBRD</t>
  </si>
  <si>
    <t>Europe &amp; Central Asia</t>
  </si>
  <si>
    <t>Agriculture</t>
  </si>
  <si>
    <t>AG - Livestock</t>
  </si>
  <si>
    <t>CH4</t>
  </si>
  <si>
    <t>MtCO2e</t>
  </si>
  <si>
    <t>N2O</t>
  </si>
  <si>
    <t>AG - Crops</t>
  </si>
  <si>
    <t>CO2</t>
  </si>
  <si>
    <t>Energy</t>
  </si>
  <si>
    <t>EN - Building</t>
  </si>
  <si>
    <t>EN - Electricity/Heat</t>
  </si>
  <si>
    <t>EN - Fugitive Emissions</t>
  </si>
  <si>
    <t>EN - Manufacturing/Construction</t>
  </si>
  <si>
    <t>EN - Transportation</t>
  </si>
  <si>
    <t>Industrial Processes</t>
  </si>
  <si>
    <t>IN - Industrial Processes</t>
  </si>
  <si>
    <t>HFC</t>
  </si>
  <si>
    <t>PFC</t>
  </si>
  <si>
    <t>SF6</t>
  </si>
  <si>
    <t>OTHER_FCS</t>
  </si>
  <si>
    <t>Waste</t>
  </si>
  <si>
    <t>Waste - Solid Waste</t>
  </si>
  <si>
    <t>Waste - Wastewater Treatment</t>
  </si>
  <si>
    <t>Land Use, Land Use Change, and Forestry</t>
  </si>
  <si>
    <t>LULUCF - Forest Land</t>
  </si>
  <si>
    <t>LULUCF - HWP</t>
  </si>
  <si>
    <t>LULUCF - Other Land</t>
  </si>
  <si>
    <t>year</t>
  </si>
  <si>
    <t>co2_Gg_co2eq</t>
  </si>
  <si>
    <t>ch4_Gg_co2eq</t>
  </si>
  <si>
    <t>n2o_Gg_co2eq</t>
  </si>
  <si>
    <t>hfc_Gg_co2eq</t>
  </si>
  <si>
    <t>pfc_Gg_co2eq</t>
  </si>
  <si>
    <t>sf6_Gg_co2eq</t>
  </si>
  <si>
    <t>Year</t>
  </si>
  <si>
    <t>co2_mt_co2eq</t>
  </si>
  <si>
    <t>ch4_mt_co2eq</t>
  </si>
  <si>
    <t>n2o_mt_co2eq</t>
  </si>
  <si>
    <t>hfc_mt_co2eq</t>
  </si>
  <si>
    <t>pfc_mt_co2eq</t>
  </si>
  <si>
    <t>sf6_mt_co2eq</t>
  </si>
  <si>
    <t>enteric_fermentation_Gg</t>
  </si>
  <si>
    <t>manure_management_Gg</t>
  </si>
  <si>
    <t>rice_cultivation_Gg</t>
  </si>
  <si>
    <t>agricultural_soils_Gg</t>
  </si>
  <si>
    <t>field_burning_of_agricultural_residues_Gg</t>
  </si>
  <si>
    <t>liming_Gg</t>
  </si>
  <si>
    <t>urea_application_Gg</t>
  </si>
  <si>
    <t>enteric_fermentation_mton</t>
  </si>
  <si>
    <t>manure_management_mton</t>
  </si>
  <si>
    <t>rice_cultivation_mton</t>
  </si>
  <si>
    <t>agricultural_soils_mton</t>
  </si>
  <si>
    <t>field_burning_of_agricultural_residues_mton</t>
  </si>
  <si>
    <t>liming_mton</t>
  </si>
  <si>
    <t>urea_application_mton</t>
  </si>
  <si>
    <t>Category</t>
  </si>
  <si>
    <t>trww_ch4</t>
  </si>
  <si>
    <t>trww_n2o</t>
  </si>
  <si>
    <t>waso_ch4</t>
  </si>
  <si>
    <t>CH4_5A_CO2e</t>
  </si>
  <si>
    <t>CH4_5B_CO2e</t>
  </si>
  <si>
    <t>CH4_5C_CO2e</t>
  </si>
  <si>
    <t>CH4_5D_CO2e</t>
  </si>
  <si>
    <t>N2O_5B_CO2e</t>
  </si>
  <si>
    <t>N2O_5C_CO2e</t>
  </si>
  <si>
    <t>CO2_5C_CO2e</t>
  </si>
  <si>
    <t>N2O_5D_CO2e</t>
  </si>
  <si>
    <t>waso_co2</t>
  </si>
  <si>
    <t>waso_n2o</t>
  </si>
  <si>
    <t>agrc_ch4</t>
  </si>
  <si>
    <t>agrc_co2</t>
  </si>
  <si>
    <t>agrc_n2o</t>
  </si>
  <si>
    <t>cropland</t>
  </si>
  <si>
    <t>forestland</t>
  </si>
  <si>
    <t>grassland</t>
  </si>
  <si>
    <t>wetlands</t>
  </si>
  <si>
    <t>settlements</t>
  </si>
  <si>
    <t>otherland</t>
  </si>
  <si>
    <t>hwp</t>
  </si>
  <si>
    <t>forestland_co2_mt</t>
  </si>
  <si>
    <t>forestland_ch4_mt</t>
  </si>
  <si>
    <t>cropland_mt</t>
  </si>
  <si>
    <t>grassland_mt</t>
  </si>
  <si>
    <t>wetlands_co2_mt</t>
  </si>
  <si>
    <t>wetlands_ch4_mt</t>
  </si>
  <si>
    <t>settlements_mt</t>
  </si>
  <si>
    <t>hwp_mt</t>
  </si>
  <si>
    <t>otherland_mt</t>
  </si>
  <si>
    <t>total_mt</t>
  </si>
  <si>
    <t>LULUCF - Wetlands</t>
  </si>
  <si>
    <t>LULUCF - Cropland</t>
  </si>
  <si>
    <t>LULUCF - Grassland</t>
  </si>
  <si>
    <t>LULUCF - Settlements</t>
  </si>
  <si>
    <t>lvst_ch4</t>
  </si>
  <si>
    <t>lvst_n2o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</si>
</sst>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Monaco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790E-6305-3E46-BABF-245C45C70519}">
  <dimension ref="A1:AG42"/>
  <sheetViews>
    <sheetView tabSelected="1" topLeftCell="H1" zoomScale="80" zoomScaleNormal="80" workbookViewId="0">
      <selection activeCell="U48" sqref="U48"/>
    </sheetView>
  </sheetViews>
  <sheetFormatPr baseColWidth="10" defaultRowHeight="16" x14ac:dyDescent="0.2"/>
  <cols>
    <col min="1" max="1" width="5.5" bestFit="1" customWidth="1"/>
    <col min="4" max="4" width="18.33203125" bestFit="1" customWidth="1"/>
    <col min="5" max="5" width="14.6640625" bestFit="1" customWidth="1"/>
    <col min="6" max="6" width="18.6640625" bestFit="1" customWidth="1"/>
    <col min="7" max="7" width="34.33203125" bestFit="1" customWidth="1"/>
    <col min="8" max="8" width="30.332031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2000</v>
      </c>
      <c r="L1">
        <v>2001</v>
      </c>
      <c r="M1">
        <v>2002</v>
      </c>
      <c r="N1">
        <v>2003</v>
      </c>
      <c r="O1">
        <v>2004</v>
      </c>
      <c r="P1">
        <v>2005</v>
      </c>
      <c r="Q1">
        <v>2006</v>
      </c>
      <c r="R1">
        <v>2007</v>
      </c>
      <c r="S1">
        <v>2008</v>
      </c>
      <c r="T1">
        <v>2009</v>
      </c>
      <c r="U1">
        <v>2010</v>
      </c>
      <c r="V1">
        <v>2011</v>
      </c>
      <c r="W1">
        <v>2012</v>
      </c>
      <c r="X1">
        <v>2013</v>
      </c>
      <c r="Y1">
        <v>2014</v>
      </c>
      <c r="Z1">
        <v>2015</v>
      </c>
      <c r="AA1">
        <v>2016</v>
      </c>
      <c r="AB1">
        <v>2017</v>
      </c>
      <c r="AC1">
        <v>2018</v>
      </c>
      <c r="AD1">
        <v>2019</v>
      </c>
      <c r="AE1">
        <v>2020</v>
      </c>
      <c r="AF1">
        <v>2021</v>
      </c>
      <c r="AG1">
        <v>2022</v>
      </c>
    </row>
    <row r="2" spans="1:33" x14ac:dyDescent="0.2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2.67964</v>
      </c>
      <c r="L2">
        <v>2.6008750000000003</v>
      </c>
      <c r="M2">
        <v>2.5221100000000001</v>
      </c>
      <c r="N2">
        <v>2.4433450000000003</v>
      </c>
      <c r="O2">
        <v>2.3645800000000001</v>
      </c>
      <c r="P2">
        <v>2.4078550000000001</v>
      </c>
      <c r="Q2">
        <v>2.3226849999999999</v>
      </c>
      <c r="R2">
        <v>2.2375149999999997</v>
      </c>
      <c r="S2">
        <v>2.1523450000000004</v>
      </c>
      <c r="T2">
        <v>2.0672250000000001</v>
      </c>
      <c r="U2">
        <v>2.0288200000000001</v>
      </c>
      <c r="V2">
        <v>2.02624</v>
      </c>
      <c r="W2">
        <v>2.0236450000000001</v>
      </c>
      <c r="X2">
        <v>2.0210599999999999</v>
      </c>
      <c r="Y2">
        <v>2.0184800000000003</v>
      </c>
      <c r="Z2">
        <v>2.0174150000000002</v>
      </c>
      <c r="AA2">
        <v>1.987665</v>
      </c>
      <c r="AB2">
        <v>1.991895</v>
      </c>
      <c r="AC2">
        <v>1.9541750000000002</v>
      </c>
      <c r="AD2">
        <v>1.9081900000000001</v>
      </c>
      <c r="AE2">
        <v>1.9570650000000001</v>
      </c>
      <c r="AF2">
        <v>2.0126900000000001</v>
      </c>
      <c r="AG2">
        <v>1.9768050000000001</v>
      </c>
    </row>
    <row r="3" spans="1:33" x14ac:dyDescent="0.2">
      <c r="A3" t="s">
        <v>10</v>
      </c>
      <c r="B3" t="s">
        <v>11</v>
      </c>
      <c r="C3" t="s">
        <v>10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19</v>
      </c>
      <c r="J3" t="s">
        <v>18</v>
      </c>
      <c r="K3">
        <v>0.31216000000000005</v>
      </c>
      <c r="L3">
        <v>0.31420500000000001</v>
      </c>
      <c r="M3">
        <v>0.31625000000000003</v>
      </c>
      <c r="N3">
        <v>0.31829500000000005</v>
      </c>
      <c r="O3">
        <v>0.32033999999999996</v>
      </c>
      <c r="P3">
        <v>0.34339500000000001</v>
      </c>
      <c r="Q3">
        <v>0.33630500000000002</v>
      </c>
      <c r="R3">
        <v>0.32921499999999998</v>
      </c>
      <c r="S3">
        <v>0.32212499999999999</v>
      </c>
      <c r="T3">
        <v>0.315085</v>
      </c>
      <c r="U3">
        <v>0.31043999999999999</v>
      </c>
      <c r="V3">
        <v>0.30966000000000005</v>
      </c>
      <c r="W3">
        <v>0.30887500000000001</v>
      </c>
      <c r="X3">
        <v>0.30808999999999997</v>
      </c>
      <c r="Y3">
        <v>0.30731000000000003</v>
      </c>
      <c r="Z3">
        <v>0.308535</v>
      </c>
      <c r="AA3">
        <v>0.30065500000000001</v>
      </c>
      <c r="AB3">
        <v>0.30628500000000003</v>
      </c>
      <c r="AC3">
        <v>0.31226500000000001</v>
      </c>
      <c r="AD3">
        <v>0.31497000000000003</v>
      </c>
      <c r="AE3">
        <v>0.30459500000000006</v>
      </c>
      <c r="AF3">
        <v>0.30843000000000004</v>
      </c>
      <c r="AG3">
        <v>0.30690499999999998</v>
      </c>
    </row>
    <row r="4" spans="1:33" x14ac:dyDescent="0.2">
      <c r="A4" t="s">
        <v>10</v>
      </c>
      <c r="B4" t="s">
        <v>11</v>
      </c>
      <c r="C4" t="s">
        <v>10</v>
      </c>
      <c r="D4" t="s">
        <v>12</v>
      </c>
      <c r="E4" t="s">
        <v>13</v>
      </c>
      <c r="F4" t="s">
        <v>14</v>
      </c>
      <c r="G4" t="s">
        <v>15</v>
      </c>
      <c r="H4" t="s">
        <v>20</v>
      </c>
      <c r="I4" t="s">
        <v>17</v>
      </c>
      <c r="J4" t="s">
        <v>18</v>
      </c>
      <c r="K4">
        <v>4.4250000000000005E-2</v>
      </c>
      <c r="L4">
        <v>4.6405000000000002E-2</v>
      </c>
      <c r="M4">
        <v>4.8559999999999992E-2</v>
      </c>
      <c r="N4">
        <v>5.0714999999999996E-2</v>
      </c>
      <c r="O4">
        <v>5.287E-2</v>
      </c>
      <c r="P4">
        <v>5.4365000000000004E-2</v>
      </c>
      <c r="Q4">
        <v>6.8089999999999998E-2</v>
      </c>
      <c r="R4">
        <v>8.1814999999999999E-2</v>
      </c>
      <c r="S4">
        <v>9.5540000000000014E-2</v>
      </c>
      <c r="T4">
        <v>0.109265</v>
      </c>
      <c r="U4">
        <v>0.13455500000000001</v>
      </c>
      <c r="V4">
        <v>0.136265</v>
      </c>
      <c r="W4">
        <v>0.13797500000000001</v>
      </c>
      <c r="X4">
        <v>0.139685</v>
      </c>
      <c r="Y4">
        <v>0.14139499999999999</v>
      </c>
      <c r="Z4">
        <v>0.14263000000000001</v>
      </c>
      <c r="AA4">
        <v>0.10796499999999999</v>
      </c>
      <c r="AB4">
        <v>0.12415999999999999</v>
      </c>
      <c r="AC4">
        <v>0.11199000000000001</v>
      </c>
      <c r="AD4">
        <v>0.13993</v>
      </c>
      <c r="AE4">
        <v>0.12703</v>
      </c>
      <c r="AF4">
        <v>0.14239499999999999</v>
      </c>
      <c r="AG4">
        <v>0.12514999999999998</v>
      </c>
    </row>
    <row r="5" spans="1:33" x14ac:dyDescent="0.2">
      <c r="A5" t="s">
        <v>10</v>
      </c>
      <c r="B5" t="s">
        <v>11</v>
      </c>
      <c r="C5" t="s">
        <v>10</v>
      </c>
      <c r="D5" t="s">
        <v>12</v>
      </c>
      <c r="E5" t="s">
        <v>13</v>
      </c>
      <c r="F5" t="s">
        <v>14</v>
      </c>
      <c r="G5" t="s">
        <v>15</v>
      </c>
      <c r="H5" t="s">
        <v>20</v>
      </c>
      <c r="I5" t="s">
        <v>21</v>
      </c>
      <c r="J5" t="s">
        <v>18</v>
      </c>
      <c r="K5">
        <v>4.9570000000000003E-2</v>
      </c>
      <c r="L5">
        <v>5.0435000000000008E-2</v>
      </c>
      <c r="M5">
        <v>5.1290000000000002E-2</v>
      </c>
      <c r="N5">
        <v>5.2155000000000007E-2</v>
      </c>
      <c r="O5">
        <v>5.3010000000000002E-2</v>
      </c>
      <c r="P5">
        <v>5.6655000000000004E-2</v>
      </c>
      <c r="Q5">
        <v>6.0480000000000006E-2</v>
      </c>
      <c r="R5">
        <v>6.4295000000000005E-2</v>
      </c>
      <c r="S5">
        <v>6.8110000000000004E-2</v>
      </c>
      <c r="T5">
        <v>7.1934999999999999E-2</v>
      </c>
      <c r="U5">
        <v>8.4815000000000002E-2</v>
      </c>
      <c r="V5">
        <v>8.7094999999999992E-2</v>
      </c>
      <c r="W5">
        <v>8.9365E-2</v>
      </c>
      <c r="X5">
        <v>9.164499999999999E-2</v>
      </c>
      <c r="Y5">
        <v>9.3914999999999998E-2</v>
      </c>
      <c r="Z5">
        <v>0.10170999999999999</v>
      </c>
      <c r="AA5">
        <v>9.6324999999999994E-2</v>
      </c>
      <c r="AB5">
        <v>9.8769999999999997E-2</v>
      </c>
      <c r="AC5">
        <v>9.6640000000000018E-2</v>
      </c>
      <c r="AD5">
        <v>8.6580000000000004E-2</v>
      </c>
      <c r="AE5">
        <v>8.8139999999999996E-2</v>
      </c>
      <c r="AF5">
        <v>9.5085000000000003E-2</v>
      </c>
      <c r="AG5">
        <v>9.4230000000000008E-2</v>
      </c>
    </row>
    <row r="6" spans="1:33" x14ac:dyDescent="0.2">
      <c r="A6" t="s">
        <v>10</v>
      </c>
      <c r="B6" t="s">
        <v>11</v>
      </c>
      <c r="C6" t="s">
        <v>10</v>
      </c>
      <c r="D6" t="s">
        <v>12</v>
      </c>
      <c r="E6" t="s">
        <v>13</v>
      </c>
      <c r="F6" t="s">
        <v>14</v>
      </c>
      <c r="G6" t="s">
        <v>15</v>
      </c>
      <c r="H6" t="s">
        <v>20</v>
      </c>
      <c r="I6" t="s">
        <v>19</v>
      </c>
      <c r="J6" t="s">
        <v>18</v>
      </c>
      <c r="K6">
        <v>1.97834</v>
      </c>
      <c r="L6">
        <v>2.0236300000000003</v>
      </c>
      <c r="M6">
        <v>2.0689200000000003</v>
      </c>
      <c r="N6">
        <v>2.1142099999999999</v>
      </c>
      <c r="O6">
        <v>2.1595</v>
      </c>
      <c r="P6">
        <v>2.1028200000000004</v>
      </c>
      <c r="Q6">
        <v>2.2279299999999997</v>
      </c>
      <c r="R6">
        <v>2.35304</v>
      </c>
      <c r="S6">
        <v>2.4781500000000003</v>
      </c>
      <c r="T6">
        <v>2.6032600000000001</v>
      </c>
      <c r="U6">
        <v>2.6253500000000001</v>
      </c>
      <c r="V6">
        <v>2.58786</v>
      </c>
      <c r="W6">
        <v>2.55037</v>
      </c>
      <c r="X6">
        <v>2.51288</v>
      </c>
      <c r="Y6">
        <v>2.47539</v>
      </c>
      <c r="Z6">
        <v>2.3345900000000004</v>
      </c>
      <c r="AA6">
        <v>2.5094699999999999</v>
      </c>
      <c r="AB6">
        <v>2.8816900000000003</v>
      </c>
      <c r="AC6">
        <v>2.7433100000000001</v>
      </c>
      <c r="AD6">
        <v>3.3413400000000002</v>
      </c>
      <c r="AE6">
        <v>3.0678800000000002</v>
      </c>
      <c r="AF6">
        <v>3.5089299999999999</v>
      </c>
      <c r="AG6">
        <v>3.40272</v>
      </c>
    </row>
    <row r="7" spans="1:33" x14ac:dyDescent="0.2">
      <c r="A7" t="s">
        <v>10</v>
      </c>
      <c r="B7" t="s">
        <v>11</v>
      </c>
      <c r="C7" t="s">
        <v>10</v>
      </c>
      <c r="D7" t="s">
        <v>12</v>
      </c>
      <c r="E7" t="s">
        <v>13</v>
      </c>
      <c r="F7" t="s">
        <v>14</v>
      </c>
      <c r="G7" t="s">
        <v>22</v>
      </c>
      <c r="H7" t="s">
        <v>23</v>
      </c>
      <c r="I7" t="s">
        <v>17</v>
      </c>
      <c r="J7" t="s">
        <v>18</v>
      </c>
      <c r="K7">
        <v>0.26766281600000003</v>
      </c>
      <c r="L7">
        <v>0.22745506700000001</v>
      </c>
      <c r="M7">
        <v>0.31313942099999997</v>
      </c>
      <c r="N7">
        <v>0.35435371399999999</v>
      </c>
      <c r="O7">
        <v>0.33625276900000001</v>
      </c>
      <c r="P7">
        <v>0.33050101500000001</v>
      </c>
      <c r="Q7">
        <v>0.352171081</v>
      </c>
      <c r="R7">
        <v>0.32890382699999998</v>
      </c>
      <c r="S7">
        <v>0.338662185</v>
      </c>
      <c r="T7">
        <v>0.30773569000000001</v>
      </c>
      <c r="U7">
        <v>0.35592402200000001</v>
      </c>
      <c r="V7">
        <v>0.38991240700000002</v>
      </c>
      <c r="W7">
        <v>0.40020720900000001</v>
      </c>
      <c r="X7">
        <v>0.372536333</v>
      </c>
      <c r="Y7">
        <v>0.331401852</v>
      </c>
      <c r="Z7">
        <v>0.33257837699999998</v>
      </c>
      <c r="AA7">
        <v>0.35472322099999998</v>
      </c>
      <c r="AB7">
        <v>0.37955070699999999</v>
      </c>
      <c r="AC7">
        <v>0.359761373</v>
      </c>
      <c r="AD7">
        <v>0.34969878100000001</v>
      </c>
      <c r="AE7">
        <v>0.38478681199999998</v>
      </c>
      <c r="AF7">
        <v>0.402469572</v>
      </c>
      <c r="AG7">
        <v>0.41500128600000002</v>
      </c>
    </row>
    <row r="8" spans="1:33" x14ac:dyDescent="0.2">
      <c r="A8" t="s">
        <v>10</v>
      </c>
      <c r="B8" t="s">
        <v>11</v>
      </c>
      <c r="C8" t="s">
        <v>10</v>
      </c>
      <c r="D8" t="s">
        <v>12</v>
      </c>
      <c r="E8" t="s">
        <v>13</v>
      </c>
      <c r="F8" t="s">
        <v>14</v>
      </c>
      <c r="G8" t="s">
        <v>22</v>
      </c>
      <c r="H8" t="s">
        <v>23</v>
      </c>
      <c r="I8" t="s">
        <v>21</v>
      </c>
      <c r="J8" t="s">
        <v>18</v>
      </c>
      <c r="K8">
        <v>2.2254291610000001</v>
      </c>
      <c r="L8">
        <v>2.0556464079999999</v>
      </c>
      <c r="M8">
        <v>2.4258987749999998</v>
      </c>
      <c r="N8">
        <v>2.553387839</v>
      </c>
      <c r="O8">
        <v>2.1299561520000001</v>
      </c>
      <c r="P8">
        <v>2.1332948279999999</v>
      </c>
      <c r="Q8">
        <v>2.3642300020000002</v>
      </c>
      <c r="R8">
        <v>2.0706170030000002</v>
      </c>
      <c r="S8">
        <v>1.8271757850000001</v>
      </c>
      <c r="T8">
        <v>1.5933430470000001</v>
      </c>
      <c r="U8">
        <v>1.747303914</v>
      </c>
      <c r="V8">
        <v>1.982473159</v>
      </c>
      <c r="W8">
        <v>1.926383833</v>
      </c>
      <c r="X8">
        <v>1.6612796889999999</v>
      </c>
      <c r="Y8">
        <v>1.41600101</v>
      </c>
      <c r="Z8">
        <v>1.566169403</v>
      </c>
      <c r="AA8">
        <v>1.5969504699999999</v>
      </c>
      <c r="AB8">
        <v>1.6386494519999999</v>
      </c>
      <c r="AC8">
        <v>1.4755991230000001</v>
      </c>
      <c r="AD8">
        <v>1.410762337</v>
      </c>
      <c r="AE8">
        <v>1.4247328779999999</v>
      </c>
      <c r="AF8">
        <v>1.626602772</v>
      </c>
      <c r="AG8">
        <v>1.6957359540000001</v>
      </c>
    </row>
    <row r="9" spans="1:33" x14ac:dyDescent="0.2">
      <c r="A9" t="s">
        <v>10</v>
      </c>
      <c r="B9" t="s">
        <v>11</v>
      </c>
      <c r="C9" t="s">
        <v>10</v>
      </c>
      <c r="D9" t="s">
        <v>12</v>
      </c>
      <c r="E9" t="s">
        <v>13</v>
      </c>
      <c r="F9" t="s">
        <v>14</v>
      </c>
      <c r="G9" t="s">
        <v>22</v>
      </c>
      <c r="H9" t="s">
        <v>23</v>
      </c>
      <c r="I9" t="s">
        <v>19</v>
      </c>
      <c r="J9" t="s">
        <v>18</v>
      </c>
      <c r="K9">
        <v>0.106716687</v>
      </c>
      <c r="L9">
        <v>9.7940211999999999E-2</v>
      </c>
      <c r="M9">
        <v>0.105680317</v>
      </c>
      <c r="N9">
        <v>0.106766125</v>
      </c>
      <c r="O9">
        <v>0.10177586800000001</v>
      </c>
      <c r="P9">
        <v>0.103691434</v>
      </c>
      <c r="Q9">
        <v>0.106197741</v>
      </c>
      <c r="R9">
        <v>9.4182287000000003E-2</v>
      </c>
      <c r="S9">
        <v>6.8339232E-2</v>
      </c>
      <c r="T9">
        <v>7.0910126000000004E-2</v>
      </c>
      <c r="U9">
        <v>7.4050143999999998E-2</v>
      </c>
      <c r="V9">
        <v>7.9640018000000007E-2</v>
      </c>
      <c r="W9">
        <v>8.2305065999999996E-2</v>
      </c>
      <c r="X9">
        <v>7.6476468000000006E-2</v>
      </c>
      <c r="Y9">
        <v>7.4750776000000005E-2</v>
      </c>
      <c r="Z9">
        <v>7.6427466999999999E-2</v>
      </c>
      <c r="AA9">
        <v>7.4079038E-2</v>
      </c>
      <c r="AB9">
        <v>7.6057814000000001E-2</v>
      </c>
      <c r="AC9">
        <v>7.8692989000000005E-2</v>
      </c>
      <c r="AD9">
        <v>7.7692542000000003E-2</v>
      </c>
      <c r="AE9">
        <v>8.0144988E-2</v>
      </c>
      <c r="AF9">
        <v>8.2851490999999999E-2</v>
      </c>
      <c r="AG9">
        <v>8.7103270999999996E-2</v>
      </c>
    </row>
    <row r="10" spans="1:33" x14ac:dyDescent="0.2">
      <c r="A10" t="s">
        <v>10</v>
      </c>
      <c r="B10" t="s">
        <v>11</v>
      </c>
      <c r="C10" t="s">
        <v>10</v>
      </c>
      <c r="D10" t="s">
        <v>12</v>
      </c>
      <c r="E10" t="s">
        <v>13</v>
      </c>
      <c r="F10" t="s">
        <v>14</v>
      </c>
      <c r="G10" t="s">
        <v>22</v>
      </c>
      <c r="H10" t="s">
        <v>24</v>
      </c>
      <c r="I10" t="s">
        <v>17</v>
      </c>
      <c r="J10" t="s">
        <v>18</v>
      </c>
      <c r="K10">
        <v>7.0458200000000004E-3</v>
      </c>
      <c r="L10">
        <v>7.786416E-3</v>
      </c>
      <c r="M10">
        <v>7.162145E-3</v>
      </c>
      <c r="N10">
        <v>8.1548320000000007E-3</v>
      </c>
      <c r="O10">
        <v>7.8775970000000001E-3</v>
      </c>
      <c r="P10">
        <v>7.8444150000000004E-3</v>
      </c>
      <c r="Q10">
        <v>7.7208950000000002E-3</v>
      </c>
      <c r="R10">
        <v>8.5619860000000006E-3</v>
      </c>
      <c r="S10">
        <v>8.4980179999999995E-3</v>
      </c>
      <c r="T10">
        <v>7.7858989999999998E-3</v>
      </c>
      <c r="U10">
        <v>8.7124300000000002E-3</v>
      </c>
      <c r="V10">
        <v>1.0080016000000001E-2</v>
      </c>
      <c r="W10">
        <v>9.2492789999999991E-3</v>
      </c>
      <c r="X10">
        <v>8.2968499999999997E-3</v>
      </c>
      <c r="Y10">
        <v>9.3747190000000001E-3</v>
      </c>
      <c r="Z10">
        <v>9.8035740000000007E-3</v>
      </c>
      <c r="AA10">
        <v>9.7968699999999992E-3</v>
      </c>
      <c r="AB10">
        <v>9.5337400000000006E-3</v>
      </c>
      <c r="AC10">
        <v>2.1744563000000001E-2</v>
      </c>
      <c r="AD10">
        <v>2.5007693000000001E-2</v>
      </c>
      <c r="AE10">
        <v>2.1502035999999999E-2</v>
      </c>
      <c r="AF10">
        <v>2.2886758E-2</v>
      </c>
      <c r="AG10">
        <v>2.3683908E-2</v>
      </c>
    </row>
    <row r="11" spans="1:33" x14ac:dyDescent="0.2">
      <c r="A11" t="s">
        <v>10</v>
      </c>
      <c r="B11" t="s">
        <v>11</v>
      </c>
      <c r="C11" t="s">
        <v>10</v>
      </c>
      <c r="D11" t="s">
        <v>12</v>
      </c>
      <c r="E11" t="s">
        <v>13</v>
      </c>
      <c r="F11" t="s">
        <v>14</v>
      </c>
      <c r="G11" t="s">
        <v>22</v>
      </c>
      <c r="H11" t="s">
        <v>24</v>
      </c>
      <c r="I11" t="s">
        <v>21</v>
      </c>
      <c r="J11" t="s">
        <v>18</v>
      </c>
      <c r="K11">
        <v>24.081669900000001</v>
      </c>
      <c r="L11">
        <v>27.376566820000001</v>
      </c>
      <c r="M11">
        <v>24.706294710000002</v>
      </c>
      <c r="N11">
        <v>27.470647190000001</v>
      </c>
      <c r="O11">
        <v>26.798833999999999</v>
      </c>
      <c r="P11">
        <v>26.790125629999999</v>
      </c>
      <c r="Q11">
        <v>26.965869999999999</v>
      </c>
      <c r="R11">
        <v>30.383585</v>
      </c>
      <c r="S11">
        <v>30.61056258</v>
      </c>
      <c r="T11">
        <v>27.832916279999999</v>
      </c>
      <c r="U11">
        <v>29.760666990000001</v>
      </c>
      <c r="V11">
        <v>34.384506729999998</v>
      </c>
      <c r="W11">
        <v>29.679073150000001</v>
      </c>
      <c r="X11">
        <v>25.631726489999998</v>
      </c>
      <c r="Y11">
        <v>27.397999290000001</v>
      </c>
      <c r="Z11">
        <v>28.207865699999999</v>
      </c>
      <c r="AA11">
        <v>24.900462359999999</v>
      </c>
      <c r="AB11">
        <v>26.269957380000001</v>
      </c>
      <c r="AC11">
        <v>22.898336950000001</v>
      </c>
      <c r="AD11">
        <v>21.247516780000002</v>
      </c>
      <c r="AE11">
        <v>17.283627880000001</v>
      </c>
      <c r="AF11">
        <v>21.89644496</v>
      </c>
      <c r="AG11">
        <v>25.091051650000001</v>
      </c>
    </row>
    <row r="12" spans="1:33" x14ac:dyDescent="0.2">
      <c r="A12" t="s">
        <v>10</v>
      </c>
      <c r="B12" t="s">
        <v>11</v>
      </c>
      <c r="C12" t="s">
        <v>10</v>
      </c>
      <c r="D12" t="s">
        <v>12</v>
      </c>
      <c r="E12" t="s">
        <v>13</v>
      </c>
      <c r="F12" t="s">
        <v>14</v>
      </c>
      <c r="G12" t="s">
        <v>22</v>
      </c>
      <c r="H12" t="s">
        <v>24</v>
      </c>
      <c r="I12" t="s">
        <v>19</v>
      </c>
      <c r="J12" t="s">
        <v>18</v>
      </c>
      <c r="K12">
        <v>7.8207652000000003E-2</v>
      </c>
      <c r="L12">
        <v>9.1420129000000003E-2</v>
      </c>
      <c r="M12">
        <v>8.2400738000000001E-2</v>
      </c>
      <c r="N12">
        <v>9.2304296999999993E-2</v>
      </c>
      <c r="O12">
        <v>9.0495094999999998E-2</v>
      </c>
      <c r="P12">
        <v>9.0199866000000004E-2</v>
      </c>
      <c r="Q12">
        <v>9.1369934999999999E-2</v>
      </c>
      <c r="R12">
        <v>0.103995016</v>
      </c>
      <c r="S12">
        <v>0.105615926</v>
      </c>
      <c r="T12">
        <v>9.4878925000000003E-2</v>
      </c>
      <c r="U12">
        <v>0.101666593</v>
      </c>
      <c r="V12">
        <v>0.119303883</v>
      </c>
      <c r="W12">
        <v>0.101741581</v>
      </c>
      <c r="X12">
        <v>8.7352950999999998E-2</v>
      </c>
      <c r="Y12">
        <v>9.4877924000000002E-2</v>
      </c>
      <c r="Z12">
        <v>9.8158596000000001E-2</v>
      </c>
      <c r="AA12">
        <v>8.6552281999999994E-2</v>
      </c>
      <c r="AB12">
        <v>9.1293989000000006E-2</v>
      </c>
      <c r="AC12">
        <v>9.6283451000000006E-2</v>
      </c>
      <c r="AD12">
        <v>9.4793358999999994E-2</v>
      </c>
      <c r="AE12">
        <v>7.7046133000000003E-2</v>
      </c>
      <c r="AF12">
        <v>9.3524313999999997E-2</v>
      </c>
      <c r="AG12">
        <v>0.106404361</v>
      </c>
    </row>
    <row r="13" spans="1:33" x14ac:dyDescent="0.2">
      <c r="A13" t="s">
        <v>10</v>
      </c>
      <c r="B13" t="s">
        <v>11</v>
      </c>
      <c r="C13" t="s">
        <v>10</v>
      </c>
      <c r="D13" t="s">
        <v>12</v>
      </c>
      <c r="E13" t="s">
        <v>13</v>
      </c>
      <c r="F13" t="s">
        <v>14</v>
      </c>
      <c r="G13" t="s">
        <v>22</v>
      </c>
      <c r="H13" t="s">
        <v>25</v>
      </c>
      <c r="I13" t="s">
        <v>17</v>
      </c>
      <c r="J13" t="s">
        <v>18</v>
      </c>
      <c r="K13">
        <v>1.1007944430000001</v>
      </c>
      <c r="L13">
        <v>1.1175072619999999</v>
      </c>
      <c r="M13">
        <v>1.0779421119999999</v>
      </c>
      <c r="N13">
        <v>1.100067567</v>
      </c>
      <c r="O13">
        <v>1.0851979039999999</v>
      </c>
      <c r="P13">
        <v>1.0135426059999999</v>
      </c>
      <c r="Q13">
        <v>1.017613807</v>
      </c>
      <c r="R13">
        <v>1.0518951249999999</v>
      </c>
      <c r="S13">
        <v>1.068230682</v>
      </c>
      <c r="T13">
        <v>0.96144904099999995</v>
      </c>
      <c r="U13">
        <v>0.99498441599999998</v>
      </c>
      <c r="V13">
        <v>1.215483576</v>
      </c>
      <c r="W13">
        <v>1.091319251</v>
      </c>
      <c r="X13">
        <v>0.96351970300000001</v>
      </c>
      <c r="Y13">
        <v>1.0045936499999999</v>
      </c>
      <c r="Z13">
        <v>1.112146555</v>
      </c>
      <c r="AA13">
        <v>0.99811447099999995</v>
      </c>
      <c r="AB13">
        <v>1.0839891960000001</v>
      </c>
      <c r="AC13">
        <v>0.98436354400000003</v>
      </c>
      <c r="AD13">
        <v>0.93595846199999999</v>
      </c>
      <c r="AE13">
        <v>0.795840773</v>
      </c>
      <c r="AF13">
        <v>0.94454001700000001</v>
      </c>
      <c r="AG13">
        <v>1.125721545</v>
      </c>
    </row>
    <row r="14" spans="1:33" x14ac:dyDescent="0.2">
      <c r="A14" t="s">
        <v>10</v>
      </c>
      <c r="B14" t="s">
        <v>11</v>
      </c>
      <c r="C14" t="s">
        <v>10</v>
      </c>
      <c r="D14" t="s">
        <v>12</v>
      </c>
      <c r="E14" t="s">
        <v>13</v>
      </c>
      <c r="F14" t="s">
        <v>14</v>
      </c>
      <c r="G14" t="s">
        <v>22</v>
      </c>
      <c r="H14" t="s">
        <v>25</v>
      </c>
      <c r="I14" t="s">
        <v>21</v>
      </c>
      <c r="J14" t="s">
        <v>18</v>
      </c>
      <c r="K14">
        <v>3.3600012769999998</v>
      </c>
      <c r="L14">
        <v>2.7403559849999999</v>
      </c>
      <c r="M14">
        <v>2.457060115</v>
      </c>
      <c r="N14">
        <v>2.8330573330000002</v>
      </c>
      <c r="O14">
        <v>2.3588080699999998</v>
      </c>
      <c r="P14">
        <v>2.255849231</v>
      </c>
      <c r="Q14">
        <v>2.1695645369999998</v>
      </c>
      <c r="R14">
        <v>2.4002882379999999</v>
      </c>
      <c r="S14">
        <v>1.3698416899999999</v>
      </c>
      <c r="T14">
        <v>1.1333345779999999</v>
      </c>
      <c r="U14">
        <v>1.1288748040000001</v>
      </c>
      <c r="V14">
        <v>1.1671875439999999</v>
      </c>
      <c r="W14">
        <v>1.3247801880000001</v>
      </c>
      <c r="X14">
        <v>1.340380371</v>
      </c>
      <c r="Y14">
        <v>1.352873437</v>
      </c>
      <c r="Z14">
        <v>1.4903450650000001</v>
      </c>
      <c r="AA14">
        <v>1.419932242</v>
      </c>
      <c r="AB14">
        <v>1.4606280300000001</v>
      </c>
      <c r="AC14">
        <v>1.748379122</v>
      </c>
      <c r="AD14">
        <v>2.1838676769999998</v>
      </c>
      <c r="AE14">
        <v>2.065558008</v>
      </c>
      <c r="AF14">
        <v>2.259274531</v>
      </c>
      <c r="AG14">
        <v>2.4631753349999999</v>
      </c>
    </row>
    <row r="15" spans="1:33" x14ac:dyDescent="0.2">
      <c r="A15" t="s">
        <v>10</v>
      </c>
      <c r="B15" t="s">
        <v>11</v>
      </c>
      <c r="C15" t="s">
        <v>10</v>
      </c>
      <c r="D15" t="s">
        <v>12</v>
      </c>
      <c r="E15" t="s">
        <v>13</v>
      </c>
      <c r="F15" t="s">
        <v>14</v>
      </c>
      <c r="G15" t="s">
        <v>22</v>
      </c>
      <c r="H15" t="s">
        <v>25</v>
      </c>
      <c r="I15" t="s">
        <v>19</v>
      </c>
      <c r="J15" t="s">
        <v>18</v>
      </c>
      <c r="K15">
        <v>1.0931319999999999E-3</v>
      </c>
      <c r="L15">
        <v>9.3613599999999996E-4</v>
      </c>
      <c r="M15">
        <v>8.7891499999999997E-4</v>
      </c>
      <c r="N15">
        <v>8.7171199999999996E-4</v>
      </c>
      <c r="O15">
        <v>8.8781699999999995E-4</v>
      </c>
      <c r="P15">
        <v>9.4743799999999999E-4</v>
      </c>
      <c r="Q15">
        <v>9.6416000000000004E-4</v>
      </c>
      <c r="R15">
        <v>9.9471999999999994E-4</v>
      </c>
      <c r="S15">
        <v>1.424654E-3</v>
      </c>
      <c r="T15">
        <v>1.5071290000000001E-3</v>
      </c>
      <c r="U15">
        <v>1.456854E-3</v>
      </c>
      <c r="V15">
        <v>1.3758049999999999E-3</v>
      </c>
      <c r="W15">
        <v>1.0186520000000001E-3</v>
      </c>
      <c r="X15">
        <v>1.0389399999999999E-3</v>
      </c>
      <c r="Y15">
        <v>9.6873200000000003E-4</v>
      </c>
      <c r="Z15">
        <v>1.141934E-3</v>
      </c>
      <c r="AA15">
        <v>1.1202549999999999E-3</v>
      </c>
      <c r="AB15">
        <v>1.119777E-3</v>
      </c>
      <c r="AC15">
        <v>9.4827599999999996E-4</v>
      </c>
      <c r="AD15">
        <v>9.8268300000000004E-4</v>
      </c>
      <c r="AE15">
        <v>7.5942900000000005E-4</v>
      </c>
      <c r="AF15">
        <v>7.97677E-4</v>
      </c>
      <c r="AG15">
        <v>8.5599700000000005E-4</v>
      </c>
    </row>
    <row r="16" spans="1:33" x14ac:dyDescent="0.2">
      <c r="A16" t="s">
        <v>10</v>
      </c>
      <c r="B16" t="s">
        <v>11</v>
      </c>
      <c r="C16" t="s">
        <v>10</v>
      </c>
      <c r="D16" t="s">
        <v>12</v>
      </c>
      <c r="E16" t="s">
        <v>13</v>
      </c>
      <c r="F16" t="s">
        <v>14</v>
      </c>
      <c r="G16" t="s">
        <v>22</v>
      </c>
      <c r="H16" t="s">
        <v>26</v>
      </c>
      <c r="I16" t="s">
        <v>17</v>
      </c>
      <c r="J16" t="s">
        <v>18</v>
      </c>
      <c r="K16">
        <v>9.624858E-3</v>
      </c>
      <c r="L16">
        <v>1.1465493E-2</v>
      </c>
      <c r="M16">
        <v>1.10309E-2</v>
      </c>
      <c r="N16">
        <v>1.2807565999999999E-2</v>
      </c>
      <c r="O16">
        <v>1.3306175999999999E-2</v>
      </c>
      <c r="P16">
        <v>1.2712752000000001E-2</v>
      </c>
      <c r="Q16">
        <v>1.2792948E-2</v>
      </c>
      <c r="R16">
        <v>1.3400172E-2</v>
      </c>
      <c r="S16">
        <v>1.000766E-2</v>
      </c>
      <c r="T16">
        <v>6.4832580000000004E-3</v>
      </c>
      <c r="U16">
        <v>1.0518049E-2</v>
      </c>
      <c r="V16">
        <v>1.1155203000000001E-2</v>
      </c>
      <c r="W16">
        <v>1.0996967999999999E-2</v>
      </c>
      <c r="X16">
        <v>1.2955546E-2</v>
      </c>
      <c r="Y16">
        <v>1.2251303999999999E-2</v>
      </c>
      <c r="Z16">
        <v>1.4196186E-2</v>
      </c>
      <c r="AA16">
        <v>1.4104241999999999E-2</v>
      </c>
      <c r="AB16">
        <v>1.4445074E-2</v>
      </c>
      <c r="AC16">
        <v>1.5268218E-2</v>
      </c>
      <c r="AD16">
        <v>1.5566791999999999E-2</v>
      </c>
      <c r="AE16">
        <v>1.5842375999999998E-2</v>
      </c>
      <c r="AF16">
        <v>1.7121082999999999E-2</v>
      </c>
      <c r="AG16">
        <v>1.8077663000000001E-2</v>
      </c>
    </row>
    <row r="17" spans="1:33" x14ac:dyDescent="0.2">
      <c r="A17" t="s">
        <v>10</v>
      </c>
      <c r="B17" t="s">
        <v>11</v>
      </c>
      <c r="C17" t="s">
        <v>10</v>
      </c>
      <c r="D17" t="s">
        <v>12</v>
      </c>
      <c r="E17" t="s">
        <v>13</v>
      </c>
      <c r="F17" t="s">
        <v>14</v>
      </c>
      <c r="G17" t="s">
        <v>22</v>
      </c>
      <c r="H17" t="s">
        <v>26</v>
      </c>
      <c r="I17" t="s">
        <v>21</v>
      </c>
      <c r="J17" t="s">
        <v>18</v>
      </c>
      <c r="K17">
        <v>7.9788546780000003</v>
      </c>
      <c r="L17">
        <v>7.8663364339999999</v>
      </c>
      <c r="M17">
        <v>7.486314825</v>
      </c>
      <c r="N17">
        <v>8.0873525760000007</v>
      </c>
      <c r="O17">
        <v>7.9834262620000001</v>
      </c>
      <c r="P17">
        <v>7.8187183979999997</v>
      </c>
      <c r="Q17">
        <v>7.9335850470000002</v>
      </c>
      <c r="R17">
        <v>8.4077473139999999</v>
      </c>
      <c r="S17">
        <v>6.109987737</v>
      </c>
      <c r="T17">
        <v>3.4962315820000001</v>
      </c>
      <c r="U17">
        <v>3.7089302329999998</v>
      </c>
      <c r="V17">
        <v>3.611402027</v>
      </c>
      <c r="W17">
        <v>3.2713161930000001</v>
      </c>
      <c r="X17">
        <v>3.2805858130000001</v>
      </c>
      <c r="Y17">
        <v>3.3395710950000002</v>
      </c>
      <c r="Z17">
        <v>3.6545293160000001</v>
      </c>
      <c r="AA17">
        <v>3.7121275030000001</v>
      </c>
      <c r="AB17">
        <v>4.371588665</v>
      </c>
      <c r="AC17">
        <v>4.8173119790000003</v>
      </c>
      <c r="AD17">
        <v>4.5819594029999999</v>
      </c>
      <c r="AE17">
        <v>4.4130863109999998</v>
      </c>
      <c r="AF17">
        <v>4.927180946</v>
      </c>
      <c r="AG17">
        <v>4.9320558569999999</v>
      </c>
    </row>
    <row r="18" spans="1:33" x14ac:dyDescent="0.2">
      <c r="A18" t="s">
        <v>10</v>
      </c>
      <c r="B18" t="s">
        <v>11</v>
      </c>
      <c r="C18" t="s">
        <v>10</v>
      </c>
      <c r="D18" t="s">
        <v>12</v>
      </c>
      <c r="E18" t="s">
        <v>13</v>
      </c>
      <c r="F18" t="s">
        <v>14</v>
      </c>
      <c r="G18" t="s">
        <v>22</v>
      </c>
      <c r="H18" t="s">
        <v>26</v>
      </c>
      <c r="I18" t="s">
        <v>19</v>
      </c>
      <c r="J18" t="s">
        <v>18</v>
      </c>
      <c r="K18">
        <v>1.4221243999999999E-2</v>
      </c>
      <c r="L18">
        <v>1.6765557E-2</v>
      </c>
      <c r="M18">
        <v>1.6488883999999999E-2</v>
      </c>
      <c r="N18">
        <v>1.8621314E-2</v>
      </c>
      <c r="O18">
        <v>1.9340838999999999E-2</v>
      </c>
      <c r="P18">
        <v>1.8250201000000001E-2</v>
      </c>
      <c r="Q18">
        <v>1.8176317000000001E-2</v>
      </c>
      <c r="R18">
        <v>1.9010457000000001E-2</v>
      </c>
      <c r="S18">
        <v>1.4135007E-2</v>
      </c>
      <c r="T18">
        <v>8.9287889999999995E-3</v>
      </c>
      <c r="U18">
        <v>1.4328857E-2</v>
      </c>
      <c r="V18">
        <v>1.4873491000000001E-2</v>
      </c>
      <c r="W18">
        <v>1.4606409000000001E-2</v>
      </c>
      <c r="X18">
        <v>1.7079045000000001E-2</v>
      </c>
      <c r="Y18">
        <v>1.6194474E-2</v>
      </c>
      <c r="Z18">
        <v>1.8445954000000001E-2</v>
      </c>
      <c r="AA18">
        <v>1.8348657000000001E-2</v>
      </c>
      <c r="AB18">
        <v>1.9063283E-2</v>
      </c>
      <c r="AC18">
        <v>2.0343401000000001E-2</v>
      </c>
      <c r="AD18">
        <v>2.0658335E-2</v>
      </c>
      <c r="AE18">
        <v>2.0809759000000001E-2</v>
      </c>
      <c r="AF18">
        <v>2.2527384000000001E-2</v>
      </c>
      <c r="AG18">
        <v>2.3924889000000001E-2</v>
      </c>
    </row>
    <row r="19" spans="1:33" x14ac:dyDescent="0.2">
      <c r="A19" t="s">
        <v>10</v>
      </c>
      <c r="B19" t="s">
        <v>11</v>
      </c>
      <c r="C19" t="s">
        <v>10</v>
      </c>
      <c r="D19" t="s">
        <v>12</v>
      </c>
      <c r="E19" t="s">
        <v>13</v>
      </c>
      <c r="F19" t="s">
        <v>14</v>
      </c>
      <c r="G19" t="s">
        <v>22</v>
      </c>
      <c r="H19" t="s">
        <v>27</v>
      </c>
      <c r="I19" t="s">
        <v>17</v>
      </c>
      <c r="J19" t="s">
        <v>18</v>
      </c>
      <c r="K19">
        <v>3.3655365E-2</v>
      </c>
      <c r="L19">
        <v>3.6020271E-2</v>
      </c>
      <c r="M19">
        <v>3.8907719E-2</v>
      </c>
      <c r="N19">
        <v>3.9745873000000001E-2</v>
      </c>
      <c r="O19">
        <v>4.0535725000000002E-2</v>
      </c>
      <c r="P19">
        <v>4.5564993999999998E-2</v>
      </c>
      <c r="Q19">
        <v>4.7858242000000002E-2</v>
      </c>
      <c r="R19">
        <v>4.2912921E-2</v>
      </c>
      <c r="S19">
        <v>4.1229962000000002E-2</v>
      </c>
      <c r="T19">
        <v>4.3538718999999997E-2</v>
      </c>
      <c r="U19">
        <v>4.3270337999999998E-2</v>
      </c>
      <c r="V19">
        <v>4.0394487999999999E-2</v>
      </c>
      <c r="W19">
        <v>4.2286192E-2</v>
      </c>
      <c r="X19">
        <v>4.3422210000000003E-2</v>
      </c>
      <c r="Y19">
        <v>4.7520143000000001E-2</v>
      </c>
      <c r="Z19">
        <v>5.0010553999999999E-2</v>
      </c>
      <c r="AA19">
        <v>5.1695102999999999E-2</v>
      </c>
      <c r="AB19">
        <v>5.0555181999999997E-2</v>
      </c>
      <c r="AC19">
        <v>4.9071346000000002E-2</v>
      </c>
      <c r="AD19">
        <v>4.8576188999999999E-2</v>
      </c>
      <c r="AE19">
        <v>4.6233148000000002E-2</v>
      </c>
      <c r="AF19">
        <v>4.8779836E-2</v>
      </c>
      <c r="AG19">
        <v>5.0659813999999997E-2</v>
      </c>
    </row>
    <row r="20" spans="1:33" x14ac:dyDescent="0.2">
      <c r="A20" t="s">
        <v>10</v>
      </c>
      <c r="B20" t="s">
        <v>11</v>
      </c>
      <c r="C20" t="s">
        <v>10</v>
      </c>
      <c r="D20" t="s">
        <v>12</v>
      </c>
      <c r="E20" t="s">
        <v>13</v>
      </c>
      <c r="F20" t="s">
        <v>14</v>
      </c>
      <c r="G20" t="s">
        <v>22</v>
      </c>
      <c r="H20" t="s">
        <v>27</v>
      </c>
      <c r="I20" t="s">
        <v>21</v>
      </c>
      <c r="J20" t="s">
        <v>18</v>
      </c>
      <c r="K20">
        <v>5.4312322919999998</v>
      </c>
      <c r="L20">
        <v>5.6036403239999997</v>
      </c>
      <c r="M20">
        <v>5.8295592919999999</v>
      </c>
      <c r="N20">
        <v>6.4194804469999998</v>
      </c>
      <c r="O20">
        <v>6.9497808499999998</v>
      </c>
      <c r="P20">
        <v>7.7638944209999998</v>
      </c>
      <c r="Q20">
        <v>8.1900681940000002</v>
      </c>
      <c r="R20">
        <v>7.9250182929999999</v>
      </c>
      <c r="S20">
        <v>8.3051004979999998</v>
      </c>
      <c r="T20">
        <v>7.977542079</v>
      </c>
      <c r="U20">
        <v>7.7599024639999996</v>
      </c>
      <c r="V20">
        <v>7.93520161</v>
      </c>
      <c r="W20">
        <v>8.2119556980000006</v>
      </c>
      <c r="X20">
        <v>7.2681838340000002</v>
      </c>
      <c r="Y20">
        <v>8.1347242089999998</v>
      </c>
      <c r="Z20">
        <v>8.9279250609999998</v>
      </c>
      <c r="AA20">
        <v>9.0449324549999996</v>
      </c>
      <c r="AB20">
        <v>9.1891291170000002</v>
      </c>
      <c r="AC20">
        <v>9.3969730259999995</v>
      </c>
      <c r="AD20">
        <v>9.5207672480000003</v>
      </c>
      <c r="AE20">
        <v>8.954451744</v>
      </c>
      <c r="AF20">
        <v>9.4405245749999995</v>
      </c>
      <c r="AG20">
        <v>10.314811150000001</v>
      </c>
    </row>
    <row r="21" spans="1:33" x14ac:dyDescent="0.2">
      <c r="A21" t="s">
        <v>10</v>
      </c>
      <c r="B21" t="s">
        <v>11</v>
      </c>
      <c r="C21" t="s">
        <v>10</v>
      </c>
      <c r="D21" t="s">
        <v>12</v>
      </c>
      <c r="E21" t="s">
        <v>13</v>
      </c>
      <c r="F21" t="s">
        <v>14</v>
      </c>
      <c r="G21" t="s">
        <v>22</v>
      </c>
      <c r="H21" t="s">
        <v>27</v>
      </c>
      <c r="I21" t="s">
        <v>19</v>
      </c>
      <c r="J21" t="s">
        <v>18</v>
      </c>
      <c r="K21">
        <v>5.7653849E-2</v>
      </c>
      <c r="L21">
        <v>5.4916209000000001E-2</v>
      </c>
      <c r="M21">
        <v>5.7491513000000001E-2</v>
      </c>
      <c r="N21">
        <v>5.9519468999999998E-2</v>
      </c>
      <c r="O21">
        <v>6.1274352999999997E-2</v>
      </c>
      <c r="P21">
        <v>6.4872225000000006E-2</v>
      </c>
      <c r="Q21">
        <v>6.9468474000000002E-2</v>
      </c>
      <c r="R21">
        <v>6.7102017E-2</v>
      </c>
      <c r="S21">
        <v>7.1525383999999997E-2</v>
      </c>
      <c r="T21">
        <v>6.8526251999999996E-2</v>
      </c>
      <c r="U21">
        <v>6.6884693999999995E-2</v>
      </c>
      <c r="V21">
        <v>6.5152930999999997E-2</v>
      </c>
      <c r="W21">
        <v>6.7683912999999998E-2</v>
      </c>
      <c r="X21">
        <v>5.7746082999999997E-2</v>
      </c>
      <c r="Y21">
        <v>6.5055588999999997E-2</v>
      </c>
      <c r="Z21">
        <v>7.3434461000000006E-2</v>
      </c>
      <c r="AA21">
        <v>7.3086941000000002E-2</v>
      </c>
      <c r="AB21">
        <v>7.4667320999999995E-2</v>
      </c>
      <c r="AC21">
        <v>7.6789382000000003E-2</v>
      </c>
      <c r="AD21">
        <v>8.0075711999999993E-2</v>
      </c>
      <c r="AE21">
        <v>7.6704212999999993E-2</v>
      </c>
      <c r="AF21">
        <v>8.1371076000000001E-2</v>
      </c>
      <c r="AG21">
        <v>8.9264459000000004E-2</v>
      </c>
    </row>
    <row r="22" spans="1:33" x14ac:dyDescent="0.2">
      <c r="A22" t="s">
        <v>10</v>
      </c>
      <c r="B22" t="s">
        <v>11</v>
      </c>
      <c r="C22" t="s">
        <v>10</v>
      </c>
      <c r="D22" t="s">
        <v>12</v>
      </c>
      <c r="E22" t="s">
        <v>13</v>
      </c>
      <c r="F22" t="s">
        <v>14</v>
      </c>
      <c r="G22" t="s">
        <v>28</v>
      </c>
      <c r="H22" t="s">
        <v>29</v>
      </c>
      <c r="I22" t="s">
        <v>17</v>
      </c>
      <c r="J22" t="s">
        <v>18</v>
      </c>
      <c r="K22">
        <v>3.7616000000000004E-2</v>
      </c>
      <c r="L22">
        <v>3.7926000000000001E-2</v>
      </c>
      <c r="M22">
        <v>3.3939999999999998E-2</v>
      </c>
      <c r="N22">
        <v>4.2282E-2</v>
      </c>
      <c r="O22">
        <v>3.6398000000000007E-2</v>
      </c>
      <c r="P22">
        <v>3.5122E-2</v>
      </c>
      <c r="Q22">
        <v>3.6044E-2</v>
      </c>
      <c r="R22">
        <v>3.4914000000000001E-2</v>
      </c>
      <c r="S22">
        <v>1.9411999999999999E-2</v>
      </c>
      <c r="T22">
        <v>4.8710000000000003E-3</v>
      </c>
      <c r="U22">
        <v>1.5999999999999999E-5</v>
      </c>
      <c r="V22">
        <v>5.0000000000000004E-6</v>
      </c>
      <c r="W22">
        <v>9.9999999999999995E-7</v>
      </c>
      <c r="X22">
        <v>9.9999999999999995E-7</v>
      </c>
      <c r="Y22">
        <v>9.9999999999999995E-7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">
      <c r="A23" t="s">
        <v>10</v>
      </c>
      <c r="B23" t="s">
        <v>11</v>
      </c>
      <c r="C23" t="s">
        <v>10</v>
      </c>
      <c r="D23" t="s">
        <v>12</v>
      </c>
      <c r="E23" t="s">
        <v>13</v>
      </c>
      <c r="F23" t="s">
        <v>14</v>
      </c>
      <c r="G23" t="s">
        <v>28</v>
      </c>
      <c r="H23" t="s">
        <v>29</v>
      </c>
      <c r="I23" t="s">
        <v>21</v>
      </c>
      <c r="J23" t="s">
        <v>18</v>
      </c>
      <c r="K23">
        <v>6.3622899999999998</v>
      </c>
      <c r="L23">
        <v>6.2996000000000008</v>
      </c>
      <c r="M23">
        <v>5.64053</v>
      </c>
      <c r="N23">
        <v>6.2374700000000001</v>
      </c>
      <c r="O23">
        <v>6.1545699999999997</v>
      </c>
      <c r="P23">
        <v>6.4908800000000006</v>
      </c>
      <c r="Q23">
        <v>6.5891899999999994</v>
      </c>
      <c r="R23">
        <v>6.9051900000000002</v>
      </c>
      <c r="S23">
        <v>5.8789899999999999</v>
      </c>
      <c r="T23">
        <v>3.1432500000000001</v>
      </c>
      <c r="U23">
        <v>3.3996500000000003</v>
      </c>
      <c r="V23">
        <v>3.9219400000000002</v>
      </c>
      <c r="W23">
        <v>3.7145000000000001</v>
      </c>
      <c r="X23">
        <v>3.5539499999999999</v>
      </c>
      <c r="Y23">
        <v>3.7778100000000001</v>
      </c>
      <c r="Z23">
        <v>4.3113599999999996</v>
      </c>
      <c r="AA23">
        <v>4.4958299999999998</v>
      </c>
      <c r="AB23">
        <v>4.3948400000000003</v>
      </c>
      <c r="AC23">
        <v>4.0447800000000003</v>
      </c>
      <c r="AD23">
        <v>3.6790500000000002</v>
      </c>
      <c r="AE23">
        <v>3.4231400000000001</v>
      </c>
      <c r="AF23">
        <v>3.6950300000000005</v>
      </c>
      <c r="AG23">
        <v>3.7780800000000001</v>
      </c>
    </row>
    <row r="24" spans="1:33" x14ac:dyDescent="0.2">
      <c r="A24" t="s">
        <v>10</v>
      </c>
      <c r="B24" t="s">
        <v>11</v>
      </c>
      <c r="C24" t="s">
        <v>10</v>
      </c>
      <c r="D24" t="s">
        <v>12</v>
      </c>
      <c r="E24" t="s">
        <v>13</v>
      </c>
      <c r="F24" t="s">
        <v>14</v>
      </c>
      <c r="G24" t="s">
        <v>28</v>
      </c>
      <c r="H24" t="s">
        <v>29</v>
      </c>
      <c r="I24" t="s">
        <v>30</v>
      </c>
      <c r="J24" t="s">
        <v>18</v>
      </c>
      <c r="K24">
        <v>3.2700000000000007E-2</v>
      </c>
      <c r="L24">
        <v>4.6200000000000005E-2</v>
      </c>
      <c r="M24">
        <v>6.0950000000000004E-2</v>
      </c>
      <c r="N24">
        <v>7.7980000000000008E-2</v>
      </c>
      <c r="O24">
        <v>0.10477</v>
      </c>
      <c r="P24">
        <v>0.16628000000000001</v>
      </c>
      <c r="Q24">
        <v>0.24537</v>
      </c>
      <c r="R24">
        <v>0.28236</v>
      </c>
      <c r="S24">
        <v>0.42573000000000005</v>
      </c>
      <c r="T24">
        <v>0.41814000000000001</v>
      </c>
      <c r="U24">
        <v>0.41423000000000004</v>
      </c>
      <c r="V24">
        <v>0.46781</v>
      </c>
      <c r="W24">
        <v>0.48322000000000004</v>
      </c>
      <c r="X24">
        <v>0.53932000000000002</v>
      </c>
      <c r="Y24">
        <v>0.60904000000000003</v>
      </c>
      <c r="Z24">
        <v>0.70734000000000008</v>
      </c>
      <c r="AA24">
        <v>0.73866999999999994</v>
      </c>
      <c r="AB24">
        <v>0.73915999999999993</v>
      </c>
      <c r="AC24">
        <v>0.74441999999999997</v>
      </c>
      <c r="AD24">
        <v>0.80646000000000007</v>
      </c>
      <c r="AE24">
        <v>0.79461999999999999</v>
      </c>
      <c r="AF24">
        <v>0.78885000000000005</v>
      </c>
      <c r="AG24">
        <v>0.70185000000000008</v>
      </c>
    </row>
    <row r="25" spans="1:33" x14ac:dyDescent="0.2">
      <c r="A25" t="s">
        <v>10</v>
      </c>
      <c r="B25" t="s">
        <v>11</v>
      </c>
      <c r="C25" t="s">
        <v>10</v>
      </c>
      <c r="D25" t="s">
        <v>12</v>
      </c>
      <c r="E25" t="s">
        <v>13</v>
      </c>
      <c r="F25" t="s">
        <v>14</v>
      </c>
      <c r="G25" t="s">
        <v>28</v>
      </c>
      <c r="H25" t="s">
        <v>29</v>
      </c>
      <c r="I25" t="s">
        <v>19</v>
      </c>
      <c r="J25" t="s">
        <v>18</v>
      </c>
      <c r="K25">
        <v>0.81908000000000003</v>
      </c>
      <c r="L25">
        <v>0.82171000000000005</v>
      </c>
      <c r="M25">
        <v>0.68347000000000002</v>
      </c>
      <c r="N25">
        <v>0.70935999999999999</v>
      </c>
      <c r="O25">
        <v>0.84148000000000001</v>
      </c>
      <c r="P25">
        <v>0.90478999999999998</v>
      </c>
      <c r="Q25">
        <v>0.49649000000000004</v>
      </c>
      <c r="R25">
        <v>0.60665000000000002</v>
      </c>
      <c r="S25">
        <v>0.58301999999999998</v>
      </c>
      <c r="T25">
        <v>0.28470000000000001</v>
      </c>
      <c r="U25">
        <v>0.28620999999999996</v>
      </c>
      <c r="V25">
        <v>0.25209999999999999</v>
      </c>
      <c r="W25">
        <v>0.15398000000000001</v>
      </c>
      <c r="X25">
        <v>0.13794999999999999</v>
      </c>
      <c r="Y25">
        <v>0.1399</v>
      </c>
      <c r="Z25">
        <v>0.14065</v>
      </c>
      <c r="AA25">
        <v>0.12670000000000001</v>
      </c>
      <c r="AB25">
        <v>0.10551000000000001</v>
      </c>
      <c r="AC25">
        <v>0.12759000000000001</v>
      </c>
      <c r="AD25">
        <v>9.8430000000000004E-2</v>
      </c>
      <c r="AE25">
        <v>9.3140000000000001E-2</v>
      </c>
      <c r="AF25">
        <v>8.4650000000000003E-2</v>
      </c>
      <c r="AG25">
        <v>7.987000000000001E-2</v>
      </c>
    </row>
    <row r="26" spans="1:33" x14ac:dyDescent="0.2">
      <c r="A26" t="s">
        <v>10</v>
      </c>
      <c r="B26" t="s">
        <v>11</v>
      </c>
      <c r="C26" t="s">
        <v>10</v>
      </c>
      <c r="D26" t="s">
        <v>12</v>
      </c>
      <c r="E26" t="s">
        <v>13</v>
      </c>
      <c r="F26" t="s">
        <v>14</v>
      </c>
      <c r="G26" t="s">
        <v>28</v>
      </c>
      <c r="H26" t="s">
        <v>29</v>
      </c>
      <c r="I26" t="s">
        <v>31</v>
      </c>
      <c r="J26" t="s">
        <v>18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2.1000000000000002E-5</v>
      </c>
      <c r="T26">
        <v>5.5999999999999999E-5</v>
      </c>
      <c r="U26">
        <v>1.02E-4</v>
      </c>
      <c r="V26">
        <v>1E-4</v>
      </c>
      <c r="W26">
        <v>4.7000000000000004E-5</v>
      </c>
      <c r="X26">
        <v>3.8999999999999999E-5</v>
      </c>
      <c r="Y26">
        <v>3.3000000000000003E-5</v>
      </c>
      <c r="Z26">
        <v>2.8E-5</v>
      </c>
      <c r="AA26">
        <v>2.3E-5</v>
      </c>
      <c r="AB26">
        <v>3.0000000000000001E-5</v>
      </c>
      <c r="AC26">
        <v>1.0000000000000001E-5</v>
      </c>
      <c r="AD26">
        <v>1.0000000000000001E-5</v>
      </c>
      <c r="AE26">
        <v>1.0000000000000001E-5</v>
      </c>
      <c r="AF26">
        <v>1.0000000000000001E-5</v>
      </c>
      <c r="AG26">
        <v>1.0000000000000001E-5</v>
      </c>
    </row>
    <row r="27" spans="1:33" x14ac:dyDescent="0.2">
      <c r="A27" t="s">
        <v>10</v>
      </c>
      <c r="B27" t="s">
        <v>11</v>
      </c>
      <c r="C27" t="s">
        <v>10</v>
      </c>
      <c r="D27" t="s">
        <v>12</v>
      </c>
      <c r="E27" t="s">
        <v>13</v>
      </c>
      <c r="F27" t="s">
        <v>14</v>
      </c>
      <c r="G27" t="s">
        <v>28</v>
      </c>
      <c r="H27" t="s">
        <v>29</v>
      </c>
      <c r="I27" t="s">
        <v>32</v>
      </c>
      <c r="J27" t="s">
        <v>18</v>
      </c>
      <c r="K27">
        <v>6.6900000000000006E-3</v>
      </c>
      <c r="L27">
        <v>7.0800000000000004E-3</v>
      </c>
      <c r="M27">
        <v>7.4900000000000001E-3</v>
      </c>
      <c r="N27">
        <v>7.92E-3</v>
      </c>
      <c r="O27">
        <v>8.3800000000000003E-3</v>
      </c>
      <c r="P27">
        <v>8.4200000000000004E-3</v>
      </c>
      <c r="Q27">
        <v>8.7400000000000012E-3</v>
      </c>
      <c r="R27">
        <v>9.0799999999999995E-3</v>
      </c>
      <c r="S27">
        <v>9.4400000000000005E-3</v>
      </c>
      <c r="T27">
        <v>9.810000000000001E-3</v>
      </c>
      <c r="U27">
        <v>1.934E-2</v>
      </c>
      <c r="V27">
        <v>1.7489999999999999E-2</v>
      </c>
      <c r="W27">
        <v>1.6590000000000001E-2</v>
      </c>
      <c r="X27">
        <v>2.1050000000000003E-2</v>
      </c>
      <c r="Y27">
        <v>1.7399999999999999E-2</v>
      </c>
      <c r="Z27">
        <v>1.8620000000000001E-2</v>
      </c>
      <c r="AA27">
        <v>1.932E-2</v>
      </c>
      <c r="AB27">
        <v>1.805E-2</v>
      </c>
      <c r="AC27">
        <v>1.8540000000000001E-2</v>
      </c>
      <c r="AD27">
        <v>1.882E-2</v>
      </c>
      <c r="AE27">
        <v>2.0449999999999999E-2</v>
      </c>
      <c r="AF27">
        <v>2.3269999999999999E-2</v>
      </c>
      <c r="AG27">
        <v>2.3960000000000002E-2</v>
      </c>
    </row>
    <row r="28" spans="1:33" x14ac:dyDescent="0.2">
      <c r="A28" t="s">
        <v>10</v>
      </c>
      <c r="B28" t="s">
        <v>11</v>
      </c>
      <c r="C28" t="s">
        <v>10</v>
      </c>
      <c r="D28" t="s">
        <v>12</v>
      </c>
      <c r="E28" t="s">
        <v>13</v>
      </c>
      <c r="F28" t="s">
        <v>14</v>
      </c>
      <c r="G28" t="s">
        <v>28</v>
      </c>
      <c r="H28" t="s">
        <v>29</v>
      </c>
      <c r="I28" t="s">
        <v>33</v>
      </c>
      <c r="J28" t="s">
        <v>18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">
      <c r="A29" t="s">
        <v>10</v>
      </c>
      <c r="B29" t="s">
        <v>11</v>
      </c>
      <c r="C29" t="s">
        <v>10</v>
      </c>
      <c r="D29" t="s">
        <v>12</v>
      </c>
      <c r="E29" t="s">
        <v>13</v>
      </c>
      <c r="F29" t="s">
        <v>14</v>
      </c>
      <c r="G29" t="s">
        <v>34</v>
      </c>
      <c r="H29" t="s">
        <v>35</v>
      </c>
      <c r="I29" t="s">
        <v>17</v>
      </c>
      <c r="J29" t="s">
        <v>18</v>
      </c>
      <c r="K29">
        <v>2.7510860000000004</v>
      </c>
      <c r="L29">
        <v>2.7736700000000001</v>
      </c>
      <c r="M29">
        <v>2.7963360000000002</v>
      </c>
      <c r="N29">
        <v>2.8192550000000001</v>
      </c>
      <c r="O29">
        <v>2.8420699999999997</v>
      </c>
      <c r="P29">
        <v>2.875095</v>
      </c>
      <c r="Q29">
        <v>2.8908709999999997</v>
      </c>
      <c r="R29">
        <v>2.903346</v>
      </c>
      <c r="S29">
        <v>2.9264510000000001</v>
      </c>
      <c r="T29">
        <v>2.9442719999999998</v>
      </c>
      <c r="U29">
        <v>2.9621810000000002</v>
      </c>
      <c r="V29">
        <v>2.9914220000000005</v>
      </c>
      <c r="W29">
        <v>2.9398419999999996</v>
      </c>
      <c r="X29">
        <v>2.8746829999999997</v>
      </c>
      <c r="Y29">
        <v>2.7135280000000002</v>
      </c>
      <c r="Z29">
        <v>2.7532970000000003</v>
      </c>
      <c r="AA29">
        <v>2.762356</v>
      </c>
      <c r="AB29">
        <v>2.5694240000000002</v>
      </c>
      <c r="AC29">
        <v>2.4676719999999999</v>
      </c>
      <c r="AD29">
        <v>2.3864519999999998</v>
      </c>
      <c r="AE29">
        <v>2.3136760000000001</v>
      </c>
      <c r="AF29">
        <v>2.2464139999999997</v>
      </c>
      <c r="AG29">
        <v>2.1715259999999996</v>
      </c>
    </row>
    <row r="30" spans="1:33" x14ac:dyDescent="0.2">
      <c r="A30" t="s">
        <v>10</v>
      </c>
      <c r="B30" t="s">
        <v>11</v>
      </c>
      <c r="C30" t="s">
        <v>10</v>
      </c>
      <c r="D30" t="s">
        <v>12</v>
      </c>
      <c r="E30" t="s">
        <v>13</v>
      </c>
      <c r="F30" t="s">
        <v>14</v>
      </c>
      <c r="G30" t="s">
        <v>34</v>
      </c>
      <c r="H30" t="s">
        <v>35</v>
      </c>
      <c r="I30" t="s">
        <v>21</v>
      </c>
      <c r="J30" t="s">
        <v>18</v>
      </c>
      <c r="K30">
        <v>6.2579999999999997E-2</v>
      </c>
      <c r="L30">
        <v>6.1030000000000001E-2</v>
      </c>
      <c r="M30">
        <v>5.9479999999999998E-2</v>
      </c>
      <c r="N30">
        <v>5.7930000000000002E-2</v>
      </c>
      <c r="O30">
        <v>5.638E-2</v>
      </c>
      <c r="P30">
        <v>5.4829999999999997E-2</v>
      </c>
      <c r="Q30">
        <v>4.6550000000000001E-2</v>
      </c>
      <c r="R30">
        <v>3.8280000000000002E-2</v>
      </c>
      <c r="S30">
        <v>0.03</v>
      </c>
      <c r="T30">
        <v>2.1729999999999999E-2</v>
      </c>
      <c r="U30">
        <v>1.345E-2</v>
      </c>
      <c r="V30">
        <v>9.7099999999999999E-3</v>
      </c>
      <c r="W30">
        <v>2.009E-2</v>
      </c>
      <c r="X30">
        <v>3.8899999999999997E-2</v>
      </c>
      <c r="Y30">
        <v>1.1259999999999999E-2</v>
      </c>
      <c r="Z30">
        <v>1.01E-2</v>
      </c>
      <c r="AA30">
        <v>1.227E-2</v>
      </c>
      <c r="AB30">
        <v>1.472E-2</v>
      </c>
      <c r="AC30">
        <v>6.77E-3</v>
      </c>
      <c r="AD30">
        <v>1.26E-2</v>
      </c>
      <c r="AE30">
        <v>0.12329</v>
      </c>
      <c r="AF30">
        <v>5.7099999999999998E-3</v>
      </c>
      <c r="AG30">
        <v>1.1860000000000001E-2</v>
      </c>
    </row>
    <row r="31" spans="1:33" x14ac:dyDescent="0.2">
      <c r="A31" t="s">
        <v>10</v>
      </c>
      <c r="B31" t="s">
        <v>11</v>
      </c>
      <c r="C31" t="s">
        <v>10</v>
      </c>
      <c r="D31" t="s">
        <v>12</v>
      </c>
      <c r="E31" t="s">
        <v>13</v>
      </c>
      <c r="F31" t="s">
        <v>14</v>
      </c>
      <c r="G31" t="s">
        <v>34</v>
      </c>
      <c r="H31" t="s">
        <v>35</v>
      </c>
      <c r="I31" t="s">
        <v>19</v>
      </c>
      <c r="J31" t="s">
        <v>18</v>
      </c>
      <c r="K31">
        <v>4.5079999999999999E-3</v>
      </c>
      <c r="L31">
        <v>4.3509999999999998E-3</v>
      </c>
      <c r="M31">
        <v>4.2220000000000001E-3</v>
      </c>
      <c r="N31">
        <v>4.0980000000000001E-3</v>
      </c>
      <c r="O31">
        <v>3.96E-3</v>
      </c>
      <c r="P31">
        <v>3.8430000000000001E-3</v>
      </c>
      <c r="Q31">
        <v>3.2520000000000001E-3</v>
      </c>
      <c r="R31">
        <v>2.6909999999999998E-3</v>
      </c>
      <c r="S31">
        <v>2.114E-3</v>
      </c>
      <c r="T31">
        <v>1.4760000000000001E-3</v>
      </c>
      <c r="U31">
        <v>8.92E-4</v>
      </c>
      <c r="V31">
        <v>5.9369999999999996E-3</v>
      </c>
      <c r="W31">
        <v>6.6779999999999999E-3</v>
      </c>
      <c r="X31">
        <v>1.0702E-2</v>
      </c>
      <c r="Y31">
        <v>3.408E-3</v>
      </c>
      <c r="Z31">
        <v>1.8908000000000001E-2</v>
      </c>
      <c r="AA31">
        <v>1.6795999999999998E-2</v>
      </c>
      <c r="AB31">
        <v>1.6993999999999999E-2</v>
      </c>
      <c r="AC31">
        <v>3.091E-3</v>
      </c>
      <c r="AD31">
        <v>3.5079999999999998E-3</v>
      </c>
      <c r="AE31">
        <v>1.1471E-2</v>
      </c>
      <c r="AF31">
        <v>5.5649999999999996E-3</v>
      </c>
      <c r="AG31">
        <v>5.5389999999999997E-3</v>
      </c>
    </row>
    <row r="32" spans="1:33" x14ac:dyDescent="0.2">
      <c r="A32" t="s">
        <v>10</v>
      </c>
      <c r="B32" t="s">
        <v>11</v>
      </c>
      <c r="C32" t="s">
        <v>10</v>
      </c>
      <c r="D32" t="s">
        <v>12</v>
      </c>
      <c r="E32" t="s">
        <v>13</v>
      </c>
      <c r="F32" t="s">
        <v>14</v>
      </c>
      <c r="G32" t="s">
        <v>34</v>
      </c>
      <c r="H32" t="s">
        <v>36</v>
      </c>
      <c r="I32" t="s">
        <v>17</v>
      </c>
      <c r="J32" t="s">
        <v>18</v>
      </c>
      <c r="K32">
        <v>1.2280800000000001</v>
      </c>
      <c r="L32">
        <v>1.14716</v>
      </c>
      <c r="M32">
        <v>1.0662400000000001</v>
      </c>
      <c r="N32">
        <v>0.98784000000000005</v>
      </c>
      <c r="O32">
        <v>0.90920000000000001</v>
      </c>
      <c r="P32">
        <v>0.82247999999999999</v>
      </c>
      <c r="Q32">
        <v>0.78427999999999998</v>
      </c>
      <c r="R32">
        <v>0.74407999999999996</v>
      </c>
      <c r="S32">
        <v>0.7056</v>
      </c>
      <c r="T32">
        <v>0.66117999999999999</v>
      </c>
      <c r="U32">
        <v>0.62775999999999998</v>
      </c>
      <c r="V32">
        <v>0.60472000000000004</v>
      </c>
      <c r="W32">
        <v>0.57343999999999995</v>
      </c>
      <c r="X32">
        <v>0.68572</v>
      </c>
      <c r="Y32">
        <v>0.70640000000000003</v>
      </c>
      <c r="Z32">
        <v>0.64315999999999995</v>
      </c>
      <c r="AA32">
        <v>0.65200000000000002</v>
      </c>
      <c r="AB32">
        <v>0.52400000000000002</v>
      </c>
      <c r="AC32">
        <v>0.501</v>
      </c>
      <c r="AD32">
        <v>0.44800000000000001</v>
      </c>
      <c r="AE32">
        <v>0.44500000000000001</v>
      </c>
      <c r="AF32">
        <v>0.49299999999999999</v>
      </c>
      <c r="AG32">
        <v>0.503</v>
      </c>
    </row>
    <row r="33" spans="1:33" x14ac:dyDescent="0.2">
      <c r="A33" t="s">
        <v>10</v>
      </c>
      <c r="B33" t="s">
        <v>11</v>
      </c>
      <c r="C33" t="s">
        <v>10</v>
      </c>
      <c r="D33" t="s">
        <v>12</v>
      </c>
      <c r="E33" t="s">
        <v>13</v>
      </c>
      <c r="F33" t="s">
        <v>14</v>
      </c>
      <c r="G33" t="s">
        <v>34</v>
      </c>
      <c r="H33" t="s">
        <v>36</v>
      </c>
      <c r="I33" t="s">
        <v>19</v>
      </c>
      <c r="J33" t="s">
        <v>18</v>
      </c>
      <c r="K33">
        <v>5.6999999999999998E-4</v>
      </c>
      <c r="L33">
        <v>5.5000000000000003E-4</v>
      </c>
      <c r="M33">
        <v>5.2999999999999998E-4</v>
      </c>
      <c r="N33">
        <v>5.1999999999999995E-4</v>
      </c>
      <c r="O33">
        <v>5.1000000000000004E-4</v>
      </c>
      <c r="P33">
        <v>4.8999999999999998E-4</v>
      </c>
      <c r="Q33">
        <v>4.8000000000000001E-4</v>
      </c>
      <c r="R33">
        <v>4.6999999999999999E-4</v>
      </c>
      <c r="S33">
        <v>4.8000000000000001E-4</v>
      </c>
      <c r="T33">
        <v>4.8000000000000001E-4</v>
      </c>
      <c r="U33">
        <v>4.8000000000000001E-4</v>
      </c>
      <c r="V33">
        <v>4.6999999999999999E-4</v>
      </c>
      <c r="W33">
        <v>4.8000000000000001E-4</v>
      </c>
      <c r="X33">
        <v>4.8000000000000001E-4</v>
      </c>
      <c r="Y33">
        <v>4.8999999999999998E-4</v>
      </c>
      <c r="Z33">
        <v>4.6999999999999999E-4</v>
      </c>
      <c r="AA33">
        <v>4.8999999999999998E-4</v>
      </c>
      <c r="AB33">
        <v>4.8000000000000001E-4</v>
      </c>
      <c r="AC33">
        <v>4.6999999999999999E-4</v>
      </c>
      <c r="AD33">
        <v>4.6000000000000001E-4</v>
      </c>
      <c r="AE33">
        <v>4.6000000000000001E-4</v>
      </c>
      <c r="AF33">
        <v>4.4999999999999999E-4</v>
      </c>
      <c r="AG33">
        <v>4.2999999999999999E-4</v>
      </c>
    </row>
    <row r="34" spans="1:33" x14ac:dyDescent="0.2">
      <c r="A34" t="s">
        <v>10</v>
      </c>
      <c r="B34" t="s">
        <v>11</v>
      </c>
      <c r="C34" t="s">
        <v>10</v>
      </c>
      <c r="D34" t="s">
        <v>12</v>
      </c>
      <c r="E34" t="s">
        <v>13</v>
      </c>
      <c r="F34" t="s">
        <v>14</v>
      </c>
      <c r="G34" t="s">
        <v>37</v>
      </c>
      <c r="H34" t="s">
        <v>38</v>
      </c>
      <c r="I34" t="s">
        <v>21</v>
      </c>
      <c r="J34" t="s">
        <v>18</v>
      </c>
      <c r="K34">
        <v>-15.502459999999999</v>
      </c>
      <c r="L34">
        <v>-12.68107</v>
      </c>
      <c r="M34">
        <v>-12.700660000000001</v>
      </c>
      <c r="N34">
        <v>-12.686819999999999</v>
      </c>
      <c r="O34">
        <v>-12.67306</v>
      </c>
      <c r="P34">
        <v>-12.673440000000001</v>
      </c>
      <c r="Q34">
        <v>-10.608180000000001</v>
      </c>
      <c r="R34">
        <v>-10.441870000000002</v>
      </c>
      <c r="S34">
        <v>-10.577680000000001</v>
      </c>
      <c r="T34">
        <v>-10.60697</v>
      </c>
      <c r="U34">
        <v>-10.53964</v>
      </c>
      <c r="V34">
        <v>-6.9169399999999994</v>
      </c>
      <c r="W34">
        <v>-6.84945</v>
      </c>
      <c r="X34">
        <v>-6.8423100000000003</v>
      </c>
      <c r="Y34">
        <v>-6.8196300000000001</v>
      </c>
      <c r="Z34">
        <v>-6.6685600000000003</v>
      </c>
      <c r="AA34">
        <v>-8.5718200000000007</v>
      </c>
      <c r="AB34">
        <v>-8.5426200000000012</v>
      </c>
      <c r="AC34">
        <v>-8.5282499999999999</v>
      </c>
      <c r="AD34">
        <v>-8.4618600000000015</v>
      </c>
      <c r="AE34">
        <v>-8.43886</v>
      </c>
      <c r="AF34">
        <v>-8.4700900000000008</v>
      </c>
      <c r="AG34">
        <v>-8.3449799999999996</v>
      </c>
    </row>
    <row r="35" spans="1:33" x14ac:dyDescent="0.2">
      <c r="A35" t="s">
        <v>10</v>
      </c>
      <c r="B35" t="s">
        <v>11</v>
      </c>
      <c r="C35" t="s">
        <v>10</v>
      </c>
      <c r="D35" t="s">
        <v>12</v>
      </c>
      <c r="E35" t="s">
        <v>13</v>
      </c>
      <c r="F35" t="s">
        <v>14</v>
      </c>
      <c r="G35" t="s">
        <v>37</v>
      </c>
      <c r="H35" t="s">
        <v>38</v>
      </c>
      <c r="I35" t="s">
        <v>17</v>
      </c>
      <c r="J35" t="s">
        <v>18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">
      <c r="A36" t="s">
        <v>10</v>
      </c>
      <c r="B36" t="s">
        <v>11</v>
      </c>
      <c r="C36" t="s">
        <v>10</v>
      </c>
      <c r="D36" t="s">
        <v>12</v>
      </c>
      <c r="E36" t="s">
        <v>13</v>
      </c>
      <c r="F36" t="s">
        <v>14</v>
      </c>
      <c r="G36" t="s">
        <v>37</v>
      </c>
      <c r="H36" t="s">
        <v>39</v>
      </c>
      <c r="I36" t="s">
        <v>21</v>
      </c>
      <c r="J36" t="s">
        <v>18</v>
      </c>
      <c r="K36">
        <v>-0.26848</v>
      </c>
      <c r="L36">
        <v>-0.33430000000000004</v>
      </c>
      <c r="M36">
        <v>-0.46122000000000002</v>
      </c>
      <c r="N36">
        <v>-0.42731999999999998</v>
      </c>
      <c r="O36">
        <v>-0.85390999999999995</v>
      </c>
      <c r="P36">
        <v>-0.96102999999999994</v>
      </c>
      <c r="Q36">
        <v>-0.90176000000000001</v>
      </c>
      <c r="R36">
        <v>-1.70224</v>
      </c>
      <c r="S36">
        <v>-0.89271</v>
      </c>
      <c r="T36">
        <v>-0.8470700000000001</v>
      </c>
      <c r="U36">
        <v>-0.95716999999999997</v>
      </c>
      <c r="V36">
        <v>-1.2949200000000001</v>
      </c>
      <c r="W36">
        <v>-1.2711700000000001</v>
      </c>
      <c r="X36">
        <v>-1.1893800000000001</v>
      </c>
      <c r="Y36">
        <v>-1.2582100000000001</v>
      </c>
      <c r="Z36">
        <v>-1.5306600000000001</v>
      </c>
      <c r="AA36">
        <v>-1.1367499999999999</v>
      </c>
      <c r="AB36">
        <v>-1.3563000000000001</v>
      </c>
      <c r="AC36">
        <v>-1.2327300000000001</v>
      </c>
      <c r="AD36">
        <v>-1.0287500000000001</v>
      </c>
      <c r="AE36">
        <v>-1.19526</v>
      </c>
      <c r="AF36">
        <v>-1.20922</v>
      </c>
      <c r="AG36">
        <v>-0.97025000000000006</v>
      </c>
    </row>
    <row r="37" spans="1:33" x14ac:dyDescent="0.2">
      <c r="A37" t="s">
        <v>10</v>
      </c>
      <c r="B37" t="s">
        <v>11</v>
      </c>
      <c r="C37" t="s">
        <v>10</v>
      </c>
      <c r="D37" t="s">
        <v>12</v>
      </c>
      <c r="E37" t="s">
        <v>13</v>
      </c>
      <c r="F37" t="s">
        <v>14</v>
      </c>
      <c r="G37" t="s">
        <v>37</v>
      </c>
      <c r="H37" t="s">
        <v>103</v>
      </c>
      <c r="I37" t="s">
        <v>17</v>
      </c>
      <c r="J37" t="s">
        <v>18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">
      <c r="A38" t="s">
        <v>10</v>
      </c>
      <c r="B38" t="s">
        <v>11</v>
      </c>
      <c r="C38" t="s">
        <v>10</v>
      </c>
      <c r="D38" t="s">
        <v>12</v>
      </c>
      <c r="E38" t="s">
        <v>13</v>
      </c>
      <c r="F38" t="s">
        <v>14</v>
      </c>
      <c r="G38" t="s">
        <v>37</v>
      </c>
      <c r="H38" t="s">
        <v>104</v>
      </c>
      <c r="I38" t="s">
        <v>21</v>
      </c>
      <c r="J38" t="s">
        <v>18</v>
      </c>
      <c r="K38">
        <v>-0.16012999999999999</v>
      </c>
      <c r="L38">
        <v>-0.12974000000000002</v>
      </c>
      <c r="M38">
        <v>-0.11334999999999999</v>
      </c>
      <c r="N38">
        <v>-4.9729999999999996E-2</v>
      </c>
      <c r="O38">
        <v>-8.4110000000000004E-2</v>
      </c>
      <c r="P38">
        <v>-0.17638999999999999</v>
      </c>
      <c r="Q38">
        <v>-5.441E-2</v>
      </c>
      <c r="R38">
        <v>-0.11348000000000001</v>
      </c>
      <c r="S38">
        <v>0.10879000000000001</v>
      </c>
      <c r="T38">
        <v>8.2430000000000003E-2</v>
      </c>
      <c r="U38">
        <v>0.48352000000000001</v>
      </c>
      <c r="V38">
        <v>0.50871</v>
      </c>
      <c r="W38">
        <v>0.76075000000000004</v>
      </c>
      <c r="X38">
        <v>1.5040199999999999</v>
      </c>
      <c r="Y38">
        <v>0.40068999999999999</v>
      </c>
      <c r="Z38">
        <v>0.67366999999999999</v>
      </c>
      <c r="AA38">
        <v>0.42632999999999999</v>
      </c>
      <c r="AB38">
        <v>0.49568000000000001</v>
      </c>
      <c r="AC38">
        <v>0.4677</v>
      </c>
      <c r="AD38">
        <v>0.39674999999999999</v>
      </c>
      <c r="AE38">
        <v>0.55327000000000004</v>
      </c>
      <c r="AF38">
        <v>0.47549000000000002</v>
      </c>
      <c r="AG38">
        <v>0.35592000000000001</v>
      </c>
    </row>
    <row r="39" spans="1:33" x14ac:dyDescent="0.2">
      <c r="A39" t="s">
        <v>10</v>
      </c>
      <c r="B39" t="s">
        <v>11</v>
      </c>
      <c r="C39" t="s">
        <v>10</v>
      </c>
      <c r="D39" t="s">
        <v>12</v>
      </c>
      <c r="E39" t="s">
        <v>13</v>
      </c>
      <c r="F39" t="s">
        <v>14</v>
      </c>
      <c r="G39" t="s">
        <v>37</v>
      </c>
      <c r="H39" t="s">
        <v>105</v>
      </c>
      <c r="I39" t="s">
        <v>21</v>
      </c>
      <c r="J39" t="s">
        <v>18</v>
      </c>
      <c r="K39">
        <v>-1.6124200000000002</v>
      </c>
      <c r="L39">
        <v>-1.6180999999999999</v>
      </c>
      <c r="M39">
        <v>-1.7729400000000002</v>
      </c>
      <c r="N39">
        <v>-1.4357200000000001</v>
      </c>
      <c r="O39">
        <v>-1.6676</v>
      </c>
      <c r="P39">
        <v>-2.7430500000000002</v>
      </c>
      <c r="Q39">
        <v>-1.7157200000000001</v>
      </c>
      <c r="R39">
        <v>-1.9749700000000001</v>
      </c>
      <c r="S39">
        <v>-1.4518499999999999</v>
      </c>
      <c r="T39">
        <v>-1.3699300000000001</v>
      </c>
      <c r="U39">
        <v>-1.3106199999999999</v>
      </c>
      <c r="V39">
        <v>-1.24471</v>
      </c>
      <c r="W39">
        <v>-1.1580899999999998</v>
      </c>
      <c r="X39">
        <v>-1.0417400000000001</v>
      </c>
      <c r="Y39">
        <v>-1.04898</v>
      </c>
      <c r="Z39">
        <v>-0.90199000000000007</v>
      </c>
      <c r="AA39">
        <v>-0.87572000000000005</v>
      </c>
      <c r="AB39">
        <v>-0.74124000000000001</v>
      </c>
      <c r="AC39">
        <v>-0.83608000000000005</v>
      </c>
      <c r="AD39">
        <v>-0.89905999999999997</v>
      </c>
      <c r="AE39">
        <v>-0.78928999999999994</v>
      </c>
      <c r="AF39">
        <v>-0.60939999999999994</v>
      </c>
      <c r="AG39">
        <v>-0.83480999999999994</v>
      </c>
    </row>
    <row r="40" spans="1:33" x14ac:dyDescent="0.2">
      <c r="A40" t="s">
        <v>10</v>
      </c>
      <c r="B40" t="s">
        <v>11</v>
      </c>
      <c r="C40" t="s">
        <v>10</v>
      </c>
      <c r="D40" t="s">
        <v>12</v>
      </c>
      <c r="E40" t="s">
        <v>13</v>
      </c>
      <c r="F40" t="s">
        <v>14</v>
      </c>
      <c r="G40" t="s">
        <v>37</v>
      </c>
      <c r="H40" t="s">
        <v>103</v>
      </c>
      <c r="I40" t="s">
        <v>21</v>
      </c>
      <c r="J40" t="s">
        <v>18</v>
      </c>
      <c r="K40">
        <v>6.6680000000000003E-2</v>
      </c>
      <c r="L40">
        <v>7.0030000000000009E-2</v>
      </c>
      <c r="M40">
        <v>7.3459999999999998E-2</v>
      </c>
      <c r="N40">
        <v>7.6579999999999995E-2</v>
      </c>
      <c r="O40">
        <v>7.987000000000001E-2</v>
      </c>
      <c r="P40">
        <v>8.3129999999999996E-2</v>
      </c>
      <c r="Q40">
        <v>8.6459999999999995E-2</v>
      </c>
      <c r="R40">
        <v>8.9880000000000002E-2</v>
      </c>
      <c r="S40">
        <v>9.5739999999999992E-2</v>
      </c>
      <c r="T40">
        <v>0.10187</v>
      </c>
      <c r="U40">
        <v>0.10774</v>
      </c>
      <c r="V40">
        <v>0.11366</v>
      </c>
      <c r="W40">
        <v>0.11953</v>
      </c>
      <c r="X40">
        <v>0.12792000000000001</v>
      </c>
      <c r="Y40">
        <v>0.11594</v>
      </c>
      <c r="Z40">
        <v>0.11137000000000001</v>
      </c>
      <c r="AA40">
        <v>0.10678</v>
      </c>
      <c r="AB40">
        <v>0.10249</v>
      </c>
      <c r="AC40">
        <v>9.8239999999999994E-2</v>
      </c>
      <c r="AD40">
        <v>9.4019999999999992E-2</v>
      </c>
      <c r="AE40">
        <v>8.9719999999999994E-2</v>
      </c>
      <c r="AF40">
        <v>8.5379999999999998E-2</v>
      </c>
      <c r="AG40">
        <v>8.098000000000001E-2</v>
      </c>
    </row>
    <row r="41" spans="1:33" x14ac:dyDescent="0.2">
      <c r="A41" t="s">
        <v>10</v>
      </c>
      <c r="B41" t="s">
        <v>11</v>
      </c>
      <c r="C41" t="s">
        <v>10</v>
      </c>
      <c r="D41" t="s">
        <v>12</v>
      </c>
      <c r="E41" t="s">
        <v>13</v>
      </c>
      <c r="F41" t="s">
        <v>14</v>
      </c>
      <c r="G41" t="s">
        <v>37</v>
      </c>
      <c r="H41" t="s">
        <v>106</v>
      </c>
      <c r="I41" t="s">
        <v>21</v>
      </c>
      <c r="J41" t="s">
        <v>18</v>
      </c>
      <c r="K41">
        <v>0.13485</v>
      </c>
      <c r="L41">
        <v>8.7870000000000004E-2</v>
      </c>
      <c r="M41">
        <v>0.11592000000000001</v>
      </c>
      <c r="N41">
        <v>0.10508000000000001</v>
      </c>
      <c r="O41">
        <v>0.10346</v>
      </c>
      <c r="P41">
        <v>0.17619000000000001</v>
      </c>
      <c r="Q41">
        <v>0.17347000000000001</v>
      </c>
      <c r="R41">
        <v>0.22787000000000002</v>
      </c>
      <c r="S41">
        <v>0.38763999999999998</v>
      </c>
      <c r="T41">
        <v>0.16728000000000001</v>
      </c>
      <c r="U41">
        <v>0.27909</v>
      </c>
      <c r="V41">
        <v>0.18693000000000001</v>
      </c>
      <c r="W41">
        <v>0.19425999999999999</v>
      </c>
      <c r="X41">
        <v>0.24915000000000001</v>
      </c>
      <c r="Y41">
        <v>0.15508000000000002</v>
      </c>
      <c r="Z41">
        <v>0.31208999999999998</v>
      </c>
      <c r="AA41">
        <v>0.25674999999999998</v>
      </c>
      <c r="AB41">
        <v>0.26110000000000005</v>
      </c>
      <c r="AC41">
        <v>0.15913999999999998</v>
      </c>
      <c r="AD41">
        <v>0.31295000000000001</v>
      </c>
      <c r="AE41">
        <v>0.17494000000000001</v>
      </c>
      <c r="AF41">
        <v>0.14890999999999999</v>
      </c>
      <c r="AG41">
        <v>0.17311000000000001</v>
      </c>
    </row>
    <row r="42" spans="1:33" x14ac:dyDescent="0.2">
      <c r="A42" t="s">
        <v>10</v>
      </c>
      <c r="B42" t="s">
        <v>11</v>
      </c>
      <c r="C42" t="s">
        <v>10</v>
      </c>
      <c r="D42" t="s">
        <v>12</v>
      </c>
      <c r="E42" t="s">
        <v>13</v>
      </c>
      <c r="F42" t="s">
        <v>14</v>
      </c>
      <c r="G42" t="s">
        <v>37</v>
      </c>
      <c r="H42" t="s">
        <v>40</v>
      </c>
      <c r="I42" t="s">
        <v>21</v>
      </c>
      <c r="J42" t="s">
        <v>18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211-414A-3A4F-AC3E-D36F59857153}">
  <dimension ref="A1:R50"/>
  <sheetViews>
    <sheetView topLeftCell="D1" zoomScale="140" zoomScaleNormal="140" zoomScaleSheetLayoutView="141" workbookViewId="0">
      <selection activeCell="G28" sqref="G28:G50"/>
    </sheetView>
  </sheetViews>
  <sheetFormatPr baseColWidth="10" defaultRowHeight="16" x14ac:dyDescent="0.2"/>
  <cols>
    <col min="9" max="10" width="16.33203125" bestFit="1" customWidth="1"/>
    <col min="13" max="13" width="15.33203125" bestFit="1" customWidth="1"/>
  </cols>
  <sheetData>
    <row r="1" spans="1:18" x14ac:dyDescent="0.2">
      <c r="A1" t="s">
        <v>41</v>
      </c>
      <c r="B1" t="s">
        <v>87</v>
      </c>
      <c r="C1" t="s">
        <v>86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101</v>
      </c>
      <c r="Q1" t="s">
        <v>100</v>
      </c>
      <c r="R1" t="s">
        <v>102</v>
      </c>
    </row>
    <row r="2" spans="1:18" x14ac:dyDescent="0.2">
      <c r="A2">
        <v>2000</v>
      </c>
      <c r="B2">
        <v>-15502.46</v>
      </c>
      <c r="C2">
        <v>-160.13</v>
      </c>
      <c r="D2">
        <v>-1612.42</v>
      </c>
      <c r="E2">
        <v>66.680000000000007</v>
      </c>
      <c r="F2">
        <v>134.85</v>
      </c>
      <c r="G2">
        <v>0</v>
      </c>
      <c r="H2">
        <v>-268.48</v>
      </c>
      <c r="I2">
        <f>B2*0.001</f>
        <v>-15.502459999999999</v>
      </c>
      <c r="J2">
        <v>0</v>
      </c>
      <c r="K2">
        <f>C2*0.001</f>
        <v>-0.16012999999999999</v>
      </c>
      <c r="L2">
        <f>D2*0.001</f>
        <v>-1.6124200000000002</v>
      </c>
      <c r="M2">
        <f>E2*0.001</f>
        <v>6.6680000000000003E-2</v>
      </c>
      <c r="N2">
        <v>0</v>
      </c>
      <c r="O2">
        <f>F2*0.001</f>
        <v>0.13485</v>
      </c>
      <c r="P2">
        <f t="shared" ref="P2:Q17" si="0">G2*0.001</f>
        <v>0</v>
      </c>
      <c r="Q2">
        <f t="shared" si="0"/>
        <v>-0.26848</v>
      </c>
      <c r="R2">
        <f>SUM(I2:Q2)</f>
        <v>-17.34196</v>
      </c>
    </row>
    <row r="3" spans="1:18" x14ac:dyDescent="0.2">
      <c r="A3">
        <v>2001</v>
      </c>
      <c r="B3">
        <v>-12681.07</v>
      </c>
      <c r="C3">
        <v>-129.74</v>
      </c>
      <c r="D3">
        <v>-1618.1</v>
      </c>
      <c r="E3">
        <v>70.03</v>
      </c>
      <c r="F3">
        <v>87.87</v>
      </c>
      <c r="G3">
        <v>0</v>
      </c>
      <c r="H3">
        <v>-334.3</v>
      </c>
      <c r="I3">
        <f t="shared" ref="I3:I24" si="1">B3*0.001</f>
        <v>-12.68107</v>
      </c>
      <c r="J3">
        <v>0</v>
      </c>
      <c r="K3">
        <f t="shared" ref="K3:K24" si="2">C3*0.001</f>
        <v>-0.12974000000000002</v>
      </c>
      <c r="L3">
        <f t="shared" ref="L3:L24" si="3">D3*0.001</f>
        <v>-1.6180999999999999</v>
      </c>
      <c r="M3">
        <f t="shared" ref="M3:M24" si="4">E3*0.001</f>
        <v>7.0030000000000009E-2</v>
      </c>
      <c r="N3">
        <v>0</v>
      </c>
      <c r="O3">
        <f t="shared" ref="O3:Q24" si="5">F3*0.001</f>
        <v>8.7870000000000004E-2</v>
      </c>
      <c r="P3">
        <f t="shared" si="0"/>
        <v>0</v>
      </c>
      <c r="Q3">
        <f t="shared" si="0"/>
        <v>-0.33430000000000004</v>
      </c>
      <c r="R3">
        <f t="shared" ref="R3:R24" si="6">SUM(I3:Q3)</f>
        <v>-14.605310000000001</v>
      </c>
    </row>
    <row r="4" spans="1:18" x14ac:dyDescent="0.2">
      <c r="A4">
        <v>2002</v>
      </c>
      <c r="B4">
        <v>-12700.66</v>
      </c>
      <c r="C4">
        <v>-113.35</v>
      </c>
      <c r="D4">
        <v>-1772.94</v>
      </c>
      <c r="E4">
        <v>73.459999999999994</v>
      </c>
      <c r="F4">
        <v>115.92</v>
      </c>
      <c r="G4">
        <v>0</v>
      </c>
      <c r="H4">
        <v>-461.22</v>
      </c>
      <c r="I4">
        <f t="shared" si="1"/>
        <v>-12.700660000000001</v>
      </c>
      <c r="J4">
        <v>0</v>
      </c>
      <c r="K4">
        <f t="shared" si="2"/>
        <v>-0.11334999999999999</v>
      </c>
      <c r="L4">
        <f t="shared" si="3"/>
        <v>-1.7729400000000002</v>
      </c>
      <c r="M4">
        <f t="shared" si="4"/>
        <v>7.3459999999999998E-2</v>
      </c>
      <c r="N4">
        <v>0</v>
      </c>
      <c r="O4">
        <f t="shared" si="5"/>
        <v>0.11592000000000001</v>
      </c>
      <c r="P4">
        <f t="shared" si="0"/>
        <v>0</v>
      </c>
      <c r="Q4">
        <f t="shared" si="0"/>
        <v>-0.46122000000000002</v>
      </c>
      <c r="R4">
        <f t="shared" si="6"/>
        <v>-14.858790000000003</v>
      </c>
    </row>
    <row r="5" spans="1:18" x14ac:dyDescent="0.2">
      <c r="A5">
        <v>2003</v>
      </c>
      <c r="B5">
        <v>-12686.82</v>
      </c>
      <c r="C5">
        <v>-49.73</v>
      </c>
      <c r="D5">
        <v>-1435.72</v>
      </c>
      <c r="E5">
        <v>76.58</v>
      </c>
      <c r="F5">
        <v>105.08</v>
      </c>
      <c r="G5">
        <v>0</v>
      </c>
      <c r="H5">
        <v>-427.32</v>
      </c>
      <c r="I5">
        <f t="shared" si="1"/>
        <v>-12.686819999999999</v>
      </c>
      <c r="J5">
        <v>0</v>
      </c>
      <c r="K5">
        <f t="shared" si="2"/>
        <v>-4.9729999999999996E-2</v>
      </c>
      <c r="L5">
        <f t="shared" si="3"/>
        <v>-1.4357200000000001</v>
      </c>
      <c r="M5">
        <f t="shared" si="4"/>
        <v>7.6579999999999995E-2</v>
      </c>
      <c r="N5">
        <v>0</v>
      </c>
      <c r="O5">
        <f t="shared" si="5"/>
        <v>0.10508000000000001</v>
      </c>
      <c r="P5">
        <f t="shared" si="0"/>
        <v>0</v>
      </c>
      <c r="Q5">
        <f t="shared" si="0"/>
        <v>-0.42731999999999998</v>
      </c>
      <c r="R5">
        <f t="shared" si="6"/>
        <v>-14.41793</v>
      </c>
    </row>
    <row r="6" spans="1:18" x14ac:dyDescent="0.2">
      <c r="A6">
        <v>2004</v>
      </c>
      <c r="B6">
        <v>-12673.06</v>
      </c>
      <c r="C6">
        <v>-84.11</v>
      </c>
      <c r="D6">
        <v>-1667.6</v>
      </c>
      <c r="E6">
        <v>79.87</v>
      </c>
      <c r="F6">
        <v>103.46</v>
      </c>
      <c r="G6">
        <v>0</v>
      </c>
      <c r="H6">
        <v>-853.91</v>
      </c>
      <c r="I6">
        <f t="shared" si="1"/>
        <v>-12.67306</v>
      </c>
      <c r="J6">
        <v>0</v>
      </c>
      <c r="K6">
        <f t="shared" si="2"/>
        <v>-8.4110000000000004E-2</v>
      </c>
      <c r="L6">
        <f t="shared" si="3"/>
        <v>-1.6676</v>
      </c>
      <c r="M6">
        <f t="shared" si="4"/>
        <v>7.987000000000001E-2</v>
      </c>
      <c r="N6">
        <v>0</v>
      </c>
      <c r="O6">
        <f t="shared" si="5"/>
        <v>0.10346</v>
      </c>
      <c r="P6">
        <f t="shared" si="0"/>
        <v>0</v>
      </c>
      <c r="Q6">
        <f t="shared" si="0"/>
        <v>-0.85390999999999995</v>
      </c>
      <c r="R6">
        <f t="shared" si="6"/>
        <v>-15.09535</v>
      </c>
    </row>
    <row r="7" spans="1:18" x14ac:dyDescent="0.2">
      <c r="A7">
        <v>2005</v>
      </c>
      <c r="B7">
        <v>-12673.44</v>
      </c>
      <c r="C7">
        <v>-176.39</v>
      </c>
      <c r="D7">
        <v>-2743.05</v>
      </c>
      <c r="E7">
        <v>83.13</v>
      </c>
      <c r="F7">
        <v>176.19</v>
      </c>
      <c r="G7">
        <v>0</v>
      </c>
      <c r="H7">
        <v>-961.03</v>
      </c>
      <c r="I7">
        <f t="shared" si="1"/>
        <v>-12.673440000000001</v>
      </c>
      <c r="J7">
        <v>0</v>
      </c>
      <c r="K7">
        <f t="shared" si="2"/>
        <v>-0.17638999999999999</v>
      </c>
      <c r="L7">
        <f t="shared" si="3"/>
        <v>-2.7430500000000002</v>
      </c>
      <c r="M7">
        <f t="shared" si="4"/>
        <v>8.3129999999999996E-2</v>
      </c>
      <c r="N7">
        <v>0</v>
      </c>
      <c r="O7">
        <f t="shared" si="5"/>
        <v>0.17619000000000001</v>
      </c>
      <c r="P7">
        <f t="shared" si="0"/>
        <v>0</v>
      </c>
      <c r="Q7">
        <f t="shared" si="0"/>
        <v>-0.96102999999999994</v>
      </c>
      <c r="R7">
        <f t="shared" si="6"/>
        <v>-16.294589999999999</v>
      </c>
    </row>
    <row r="8" spans="1:18" x14ac:dyDescent="0.2">
      <c r="A8">
        <v>2006</v>
      </c>
      <c r="B8">
        <v>-10608.18</v>
      </c>
      <c r="C8">
        <v>-54.41</v>
      </c>
      <c r="D8">
        <v>-1715.72</v>
      </c>
      <c r="E8">
        <v>86.46</v>
      </c>
      <c r="F8">
        <v>173.47</v>
      </c>
      <c r="G8">
        <v>0</v>
      </c>
      <c r="H8">
        <v>-901.76</v>
      </c>
      <c r="I8">
        <f t="shared" si="1"/>
        <v>-10.608180000000001</v>
      </c>
      <c r="J8">
        <v>0</v>
      </c>
      <c r="K8">
        <f t="shared" si="2"/>
        <v>-5.441E-2</v>
      </c>
      <c r="L8">
        <f t="shared" si="3"/>
        <v>-1.7157200000000001</v>
      </c>
      <c r="M8">
        <f t="shared" si="4"/>
        <v>8.6459999999999995E-2</v>
      </c>
      <c r="N8">
        <v>0</v>
      </c>
      <c r="O8">
        <f t="shared" si="5"/>
        <v>0.17347000000000001</v>
      </c>
      <c r="P8">
        <f t="shared" si="0"/>
        <v>0</v>
      </c>
      <c r="Q8">
        <f t="shared" si="0"/>
        <v>-0.90176000000000001</v>
      </c>
      <c r="R8">
        <f t="shared" si="6"/>
        <v>-13.020140000000001</v>
      </c>
    </row>
    <row r="9" spans="1:18" x14ac:dyDescent="0.2">
      <c r="A9">
        <v>2007</v>
      </c>
      <c r="B9">
        <v>-10441.870000000001</v>
      </c>
      <c r="C9">
        <v>-113.48</v>
      </c>
      <c r="D9">
        <v>-1974.97</v>
      </c>
      <c r="E9">
        <v>89.88</v>
      </c>
      <c r="F9">
        <v>227.87</v>
      </c>
      <c r="G9">
        <v>0</v>
      </c>
      <c r="H9">
        <v>-1702.24</v>
      </c>
      <c r="I9">
        <f t="shared" si="1"/>
        <v>-10.441870000000002</v>
      </c>
      <c r="J9">
        <v>0</v>
      </c>
      <c r="K9">
        <f t="shared" si="2"/>
        <v>-0.11348000000000001</v>
      </c>
      <c r="L9">
        <f t="shared" si="3"/>
        <v>-1.9749700000000001</v>
      </c>
      <c r="M9">
        <f t="shared" si="4"/>
        <v>8.9880000000000002E-2</v>
      </c>
      <c r="N9">
        <v>0</v>
      </c>
      <c r="O9">
        <f t="shared" si="5"/>
        <v>0.22787000000000002</v>
      </c>
      <c r="P9">
        <f t="shared" si="0"/>
        <v>0</v>
      </c>
      <c r="Q9">
        <f t="shared" si="0"/>
        <v>-1.70224</v>
      </c>
      <c r="R9">
        <f t="shared" si="6"/>
        <v>-13.914810000000001</v>
      </c>
    </row>
    <row r="10" spans="1:18" x14ac:dyDescent="0.2">
      <c r="A10">
        <v>2008</v>
      </c>
      <c r="B10">
        <v>-10577.68</v>
      </c>
      <c r="C10">
        <v>108.79</v>
      </c>
      <c r="D10">
        <v>-1451.85</v>
      </c>
      <c r="E10">
        <v>95.74</v>
      </c>
      <c r="F10">
        <v>387.64</v>
      </c>
      <c r="G10">
        <v>0</v>
      </c>
      <c r="H10">
        <v>-892.71</v>
      </c>
      <c r="I10">
        <f t="shared" si="1"/>
        <v>-10.577680000000001</v>
      </c>
      <c r="J10">
        <v>0</v>
      </c>
      <c r="K10">
        <f t="shared" si="2"/>
        <v>0.10879000000000001</v>
      </c>
      <c r="L10">
        <f t="shared" si="3"/>
        <v>-1.4518499999999999</v>
      </c>
      <c r="M10">
        <f t="shared" si="4"/>
        <v>9.5739999999999992E-2</v>
      </c>
      <c r="N10">
        <v>0</v>
      </c>
      <c r="O10">
        <f t="shared" si="5"/>
        <v>0.38763999999999998</v>
      </c>
      <c r="P10">
        <f t="shared" si="0"/>
        <v>0</v>
      </c>
      <c r="Q10">
        <f t="shared" si="0"/>
        <v>-0.89271</v>
      </c>
      <c r="R10">
        <f t="shared" si="6"/>
        <v>-12.330070000000001</v>
      </c>
    </row>
    <row r="11" spans="1:18" x14ac:dyDescent="0.2">
      <c r="A11">
        <v>2009</v>
      </c>
      <c r="B11">
        <v>-10606.97</v>
      </c>
      <c r="C11">
        <v>82.43</v>
      </c>
      <c r="D11">
        <v>-1369.93</v>
      </c>
      <c r="E11">
        <v>101.87</v>
      </c>
      <c r="F11">
        <v>167.28</v>
      </c>
      <c r="G11">
        <v>0</v>
      </c>
      <c r="H11">
        <v>-847.07</v>
      </c>
      <c r="I11">
        <f t="shared" si="1"/>
        <v>-10.60697</v>
      </c>
      <c r="J11">
        <v>0</v>
      </c>
      <c r="K11">
        <f t="shared" si="2"/>
        <v>8.2430000000000003E-2</v>
      </c>
      <c r="L11">
        <f t="shared" si="3"/>
        <v>-1.3699300000000001</v>
      </c>
      <c r="M11">
        <f t="shared" si="4"/>
        <v>0.10187</v>
      </c>
      <c r="N11">
        <v>0</v>
      </c>
      <c r="O11">
        <f t="shared" si="5"/>
        <v>0.16728000000000001</v>
      </c>
      <c r="P11">
        <f t="shared" si="0"/>
        <v>0</v>
      </c>
      <c r="Q11">
        <f t="shared" si="0"/>
        <v>-0.8470700000000001</v>
      </c>
      <c r="R11">
        <f t="shared" si="6"/>
        <v>-12.472390000000001</v>
      </c>
    </row>
    <row r="12" spans="1:18" x14ac:dyDescent="0.2">
      <c r="A12">
        <v>2010</v>
      </c>
      <c r="B12">
        <v>-10539.64</v>
      </c>
      <c r="C12">
        <v>483.52</v>
      </c>
      <c r="D12">
        <v>-1310.6199999999999</v>
      </c>
      <c r="E12">
        <v>107.74</v>
      </c>
      <c r="F12">
        <v>279.08999999999997</v>
      </c>
      <c r="G12">
        <v>0</v>
      </c>
      <c r="H12">
        <v>-957.17</v>
      </c>
      <c r="I12">
        <f t="shared" si="1"/>
        <v>-10.53964</v>
      </c>
      <c r="J12">
        <v>0</v>
      </c>
      <c r="K12">
        <f t="shared" si="2"/>
        <v>0.48352000000000001</v>
      </c>
      <c r="L12">
        <f t="shared" si="3"/>
        <v>-1.3106199999999999</v>
      </c>
      <c r="M12">
        <f t="shared" si="4"/>
        <v>0.10774</v>
      </c>
      <c r="N12">
        <v>0</v>
      </c>
      <c r="O12">
        <f t="shared" si="5"/>
        <v>0.27909</v>
      </c>
      <c r="P12">
        <f t="shared" si="0"/>
        <v>0</v>
      </c>
      <c r="Q12">
        <f t="shared" si="0"/>
        <v>-0.95716999999999997</v>
      </c>
      <c r="R12">
        <f t="shared" si="6"/>
        <v>-11.93708</v>
      </c>
    </row>
    <row r="13" spans="1:18" x14ac:dyDescent="0.2">
      <c r="A13">
        <v>2011</v>
      </c>
      <c r="B13">
        <v>-6916.94</v>
      </c>
      <c r="C13">
        <v>508.71</v>
      </c>
      <c r="D13">
        <v>-1244.71</v>
      </c>
      <c r="E13">
        <v>113.66</v>
      </c>
      <c r="F13">
        <v>186.93</v>
      </c>
      <c r="G13">
        <v>0</v>
      </c>
      <c r="H13">
        <v>-1294.92</v>
      </c>
      <c r="I13">
        <f t="shared" si="1"/>
        <v>-6.9169399999999994</v>
      </c>
      <c r="J13">
        <v>0</v>
      </c>
      <c r="K13">
        <f t="shared" si="2"/>
        <v>0.50871</v>
      </c>
      <c r="L13">
        <f t="shared" si="3"/>
        <v>-1.24471</v>
      </c>
      <c r="M13">
        <f t="shared" si="4"/>
        <v>0.11366</v>
      </c>
      <c r="N13">
        <v>0</v>
      </c>
      <c r="O13">
        <f t="shared" si="5"/>
        <v>0.18693000000000001</v>
      </c>
      <c r="P13">
        <f t="shared" si="0"/>
        <v>0</v>
      </c>
      <c r="Q13">
        <f t="shared" si="0"/>
        <v>-1.2949200000000001</v>
      </c>
      <c r="R13">
        <f t="shared" si="6"/>
        <v>-8.6472699999999989</v>
      </c>
    </row>
    <row r="14" spans="1:18" x14ac:dyDescent="0.2">
      <c r="A14">
        <v>2012</v>
      </c>
      <c r="B14">
        <v>-6849.45</v>
      </c>
      <c r="C14">
        <v>760.75</v>
      </c>
      <c r="D14">
        <v>-1158.0899999999999</v>
      </c>
      <c r="E14">
        <v>119.53</v>
      </c>
      <c r="F14">
        <v>194.26</v>
      </c>
      <c r="G14">
        <v>0</v>
      </c>
      <c r="H14">
        <v>-1271.17</v>
      </c>
      <c r="I14">
        <f t="shared" si="1"/>
        <v>-6.84945</v>
      </c>
      <c r="J14">
        <v>0</v>
      </c>
      <c r="K14">
        <f t="shared" si="2"/>
        <v>0.76075000000000004</v>
      </c>
      <c r="L14">
        <f t="shared" si="3"/>
        <v>-1.1580899999999998</v>
      </c>
      <c r="M14">
        <f t="shared" si="4"/>
        <v>0.11953</v>
      </c>
      <c r="N14">
        <v>0</v>
      </c>
      <c r="O14">
        <f t="shared" si="5"/>
        <v>0.19425999999999999</v>
      </c>
      <c r="P14">
        <f t="shared" si="0"/>
        <v>0</v>
      </c>
      <c r="Q14">
        <f t="shared" si="0"/>
        <v>-1.2711700000000001</v>
      </c>
      <c r="R14">
        <f t="shared" si="6"/>
        <v>-8.2041699999999995</v>
      </c>
    </row>
    <row r="15" spans="1:18" x14ac:dyDescent="0.2">
      <c r="A15">
        <v>2013</v>
      </c>
      <c r="B15">
        <v>-6842.31</v>
      </c>
      <c r="C15">
        <v>1504.02</v>
      </c>
      <c r="D15">
        <v>-1041.74</v>
      </c>
      <c r="E15">
        <v>127.92</v>
      </c>
      <c r="F15">
        <v>249.15</v>
      </c>
      <c r="G15">
        <v>0</v>
      </c>
      <c r="H15">
        <v>-1189.3800000000001</v>
      </c>
      <c r="I15">
        <f t="shared" si="1"/>
        <v>-6.8423100000000003</v>
      </c>
      <c r="J15">
        <v>0</v>
      </c>
      <c r="K15">
        <f t="shared" si="2"/>
        <v>1.5040199999999999</v>
      </c>
      <c r="L15">
        <f t="shared" si="3"/>
        <v>-1.0417400000000001</v>
      </c>
      <c r="M15">
        <f t="shared" si="4"/>
        <v>0.12792000000000001</v>
      </c>
      <c r="N15">
        <v>0</v>
      </c>
      <c r="O15">
        <f t="shared" si="5"/>
        <v>0.24915000000000001</v>
      </c>
      <c r="P15">
        <f t="shared" si="0"/>
        <v>0</v>
      </c>
      <c r="Q15">
        <f t="shared" si="0"/>
        <v>-1.1893800000000001</v>
      </c>
      <c r="R15">
        <f t="shared" si="6"/>
        <v>-7.1923400000000006</v>
      </c>
    </row>
    <row r="16" spans="1:18" x14ac:dyDescent="0.2">
      <c r="A16">
        <v>2014</v>
      </c>
      <c r="B16">
        <v>-6819.63</v>
      </c>
      <c r="C16">
        <v>400.69</v>
      </c>
      <c r="D16">
        <v>-1048.98</v>
      </c>
      <c r="E16">
        <v>115.94</v>
      </c>
      <c r="F16">
        <v>155.08000000000001</v>
      </c>
      <c r="G16">
        <v>0</v>
      </c>
      <c r="H16">
        <v>-1258.21</v>
      </c>
      <c r="I16">
        <f t="shared" si="1"/>
        <v>-6.8196300000000001</v>
      </c>
      <c r="J16">
        <v>0</v>
      </c>
      <c r="K16">
        <f t="shared" si="2"/>
        <v>0.40068999999999999</v>
      </c>
      <c r="L16">
        <f t="shared" si="3"/>
        <v>-1.04898</v>
      </c>
      <c r="M16">
        <f t="shared" si="4"/>
        <v>0.11594</v>
      </c>
      <c r="N16">
        <v>0</v>
      </c>
      <c r="O16">
        <f t="shared" si="5"/>
        <v>0.15508000000000002</v>
      </c>
      <c r="P16">
        <f t="shared" si="0"/>
        <v>0</v>
      </c>
      <c r="Q16">
        <f t="shared" si="0"/>
        <v>-1.2582100000000001</v>
      </c>
      <c r="R16">
        <f t="shared" si="6"/>
        <v>-8.4551100000000012</v>
      </c>
    </row>
    <row r="17" spans="1:18" x14ac:dyDescent="0.2">
      <c r="A17">
        <v>2015</v>
      </c>
      <c r="B17">
        <v>-6668.56</v>
      </c>
      <c r="C17">
        <v>673.67</v>
      </c>
      <c r="D17">
        <v>-901.99</v>
      </c>
      <c r="E17">
        <v>111.37</v>
      </c>
      <c r="F17">
        <v>312.08999999999997</v>
      </c>
      <c r="G17">
        <v>0</v>
      </c>
      <c r="H17">
        <v>-1530.66</v>
      </c>
      <c r="I17">
        <f t="shared" si="1"/>
        <v>-6.6685600000000003</v>
      </c>
      <c r="J17">
        <v>0</v>
      </c>
      <c r="K17">
        <f t="shared" si="2"/>
        <v>0.67366999999999999</v>
      </c>
      <c r="L17">
        <f t="shared" si="3"/>
        <v>-0.90199000000000007</v>
      </c>
      <c r="M17">
        <f t="shared" si="4"/>
        <v>0.11137000000000001</v>
      </c>
      <c r="N17">
        <v>0</v>
      </c>
      <c r="O17">
        <f t="shared" si="5"/>
        <v>0.31208999999999998</v>
      </c>
      <c r="P17">
        <f t="shared" si="0"/>
        <v>0</v>
      </c>
      <c r="Q17">
        <f t="shared" si="0"/>
        <v>-1.5306600000000001</v>
      </c>
      <c r="R17">
        <f t="shared" si="6"/>
        <v>-8.0040799999999983</v>
      </c>
    </row>
    <row r="18" spans="1:18" x14ac:dyDescent="0.2">
      <c r="A18">
        <v>2016</v>
      </c>
      <c r="B18">
        <v>-8571.82</v>
      </c>
      <c r="C18">
        <v>426.33</v>
      </c>
      <c r="D18">
        <v>-875.72</v>
      </c>
      <c r="E18">
        <v>106.78</v>
      </c>
      <c r="F18">
        <v>256.75</v>
      </c>
      <c r="G18">
        <v>0</v>
      </c>
      <c r="H18">
        <v>-1136.75</v>
      </c>
      <c r="I18">
        <f t="shared" si="1"/>
        <v>-8.5718200000000007</v>
      </c>
      <c r="J18">
        <v>0</v>
      </c>
      <c r="K18">
        <f t="shared" si="2"/>
        <v>0.42632999999999999</v>
      </c>
      <c r="L18">
        <f t="shared" si="3"/>
        <v>-0.87572000000000005</v>
      </c>
      <c r="M18">
        <f t="shared" si="4"/>
        <v>0.10678</v>
      </c>
      <c r="N18">
        <v>0</v>
      </c>
      <c r="O18">
        <f t="shared" si="5"/>
        <v>0.25674999999999998</v>
      </c>
      <c r="P18">
        <f t="shared" si="5"/>
        <v>0</v>
      </c>
      <c r="Q18">
        <f t="shared" si="5"/>
        <v>-1.1367499999999999</v>
      </c>
      <c r="R18">
        <f t="shared" si="6"/>
        <v>-9.7944299999999984</v>
      </c>
    </row>
    <row r="19" spans="1:18" x14ac:dyDescent="0.2">
      <c r="A19">
        <v>2017</v>
      </c>
      <c r="B19">
        <v>-8542.6200000000008</v>
      </c>
      <c r="C19">
        <v>495.68</v>
      </c>
      <c r="D19">
        <v>-741.24</v>
      </c>
      <c r="E19">
        <v>102.49</v>
      </c>
      <c r="F19">
        <v>261.10000000000002</v>
      </c>
      <c r="G19">
        <v>0</v>
      </c>
      <c r="H19">
        <v>-1356.3</v>
      </c>
      <c r="I19">
        <f t="shared" si="1"/>
        <v>-8.5426200000000012</v>
      </c>
      <c r="J19">
        <v>0</v>
      </c>
      <c r="K19">
        <f t="shared" si="2"/>
        <v>0.49568000000000001</v>
      </c>
      <c r="L19">
        <f t="shared" si="3"/>
        <v>-0.74124000000000001</v>
      </c>
      <c r="M19">
        <f t="shared" si="4"/>
        <v>0.10249</v>
      </c>
      <c r="N19">
        <v>0</v>
      </c>
      <c r="O19">
        <f t="shared" si="5"/>
        <v>0.26110000000000005</v>
      </c>
      <c r="P19">
        <f t="shared" si="5"/>
        <v>0</v>
      </c>
      <c r="Q19">
        <f t="shared" si="5"/>
        <v>-1.3563000000000001</v>
      </c>
      <c r="R19">
        <f t="shared" si="6"/>
        <v>-9.7808899999999994</v>
      </c>
    </row>
    <row r="20" spans="1:18" x14ac:dyDescent="0.2">
      <c r="A20">
        <v>2018</v>
      </c>
      <c r="B20">
        <v>-8528.25</v>
      </c>
      <c r="C20">
        <v>467.7</v>
      </c>
      <c r="D20">
        <v>-836.08</v>
      </c>
      <c r="E20">
        <v>98.24</v>
      </c>
      <c r="F20">
        <v>159.13999999999999</v>
      </c>
      <c r="G20">
        <v>0</v>
      </c>
      <c r="H20">
        <v>-1232.73</v>
      </c>
      <c r="I20">
        <f t="shared" si="1"/>
        <v>-8.5282499999999999</v>
      </c>
      <c r="J20">
        <v>0</v>
      </c>
      <c r="K20">
        <f t="shared" si="2"/>
        <v>0.4677</v>
      </c>
      <c r="L20">
        <f t="shared" si="3"/>
        <v>-0.83608000000000005</v>
      </c>
      <c r="M20">
        <f t="shared" si="4"/>
        <v>9.8239999999999994E-2</v>
      </c>
      <c r="N20">
        <v>0</v>
      </c>
      <c r="O20">
        <f t="shared" si="5"/>
        <v>0.15913999999999998</v>
      </c>
      <c r="P20">
        <f t="shared" si="5"/>
        <v>0</v>
      </c>
      <c r="Q20">
        <f t="shared" si="5"/>
        <v>-1.2327300000000001</v>
      </c>
      <c r="R20">
        <f t="shared" si="6"/>
        <v>-9.8719799999999989</v>
      </c>
    </row>
    <row r="21" spans="1:18" x14ac:dyDescent="0.2">
      <c r="A21">
        <v>2019</v>
      </c>
      <c r="B21">
        <v>-8461.86</v>
      </c>
      <c r="C21">
        <v>396.75</v>
      </c>
      <c r="D21">
        <v>-899.06</v>
      </c>
      <c r="E21">
        <v>94.02</v>
      </c>
      <c r="F21">
        <v>312.95</v>
      </c>
      <c r="G21">
        <v>0</v>
      </c>
      <c r="H21">
        <v>-1028.75</v>
      </c>
      <c r="I21">
        <f t="shared" si="1"/>
        <v>-8.4618600000000015</v>
      </c>
      <c r="J21">
        <v>0</v>
      </c>
      <c r="K21">
        <f t="shared" si="2"/>
        <v>0.39674999999999999</v>
      </c>
      <c r="L21">
        <f t="shared" si="3"/>
        <v>-0.89905999999999997</v>
      </c>
      <c r="M21">
        <f t="shared" si="4"/>
        <v>9.4019999999999992E-2</v>
      </c>
      <c r="N21">
        <v>0</v>
      </c>
      <c r="O21">
        <f t="shared" si="5"/>
        <v>0.31295000000000001</v>
      </c>
      <c r="P21">
        <f t="shared" si="5"/>
        <v>0</v>
      </c>
      <c r="Q21">
        <f t="shared" si="5"/>
        <v>-1.0287500000000001</v>
      </c>
      <c r="R21">
        <f t="shared" si="6"/>
        <v>-9.5859500000000004</v>
      </c>
    </row>
    <row r="22" spans="1:18" x14ac:dyDescent="0.2">
      <c r="A22">
        <v>2020</v>
      </c>
      <c r="B22">
        <v>-8438.86</v>
      </c>
      <c r="C22">
        <v>553.27</v>
      </c>
      <c r="D22">
        <v>-789.29</v>
      </c>
      <c r="E22">
        <v>89.72</v>
      </c>
      <c r="F22">
        <v>174.94</v>
      </c>
      <c r="G22">
        <v>0</v>
      </c>
      <c r="H22">
        <v>-1195.26</v>
      </c>
      <c r="I22">
        <f t="shared" si="1"/>
        <v>-8.43886</v>
      </c>
      <c r="J22">
        <v>0</v>
      </c>
      <c r="K22">
        <f t="shared" si="2"/>
        <v>0.55327000000000004</v>
      </c>
      <c r="L22">
        <f t="shared" si="3"/>
        <v>-0.78928999999999994</v>
      </c>
      <c r="M22">
        <f t="shared" si="4"/>
        <v>8.9719999999999994E-2</v>
      </c>
      <c r="N22">
        <v>0</v>
      </c>
      <c r="O22">
        <f t="shared" si="5"/>
        <v>0.17494000000000001</v>
      </c>
      <c r="P22">
        <f t="shared" si="5"/>
        <v>0</v>
      </c>
      <c r="Q22">
        <f t="shared" si="5"/>
        <v>-1.19526</v>
      </c>
      <c r="R22">
        <f t="shared" si="6"/>
        <v>-9.60548</v>
      </c>
    </row>
    <row r="23" spans="1:18" x14ac:dyDescent="0.2">
      <c r="A23">
        <v>2021</v>
      </c>
      <c r="B23">
        <v>-8470.09</v>
      </c>
      <c r="C23">
        <v>475.49</v>
      </c>
      <c r="D23">
        <v>-609.4</v>
      </c>
      <c r="E23">
        <v>85.38</v>
      </c>
      <c r="F23">
        <v>148.91</v>
      </c>
      <c r="G23">
        <v>0</v>
      </c>
      <c r="H23">
        <v>-1209.22</v>
      </c>
      <c r="I23">
        <f t="shared" si="1"/>
        <v>-8.4700900000000008</v>
      </c>
      <c r="J23">
        <v>0</v>
      </c>
      <c r="K23">
        <f t="shared" si="2"/>
        <v>0.47549000000000002</v>
      </c>
      <c r="L23">
        <f t="shared" si="3"/>
        <v>-0.60939999999999994</v>
      </c>
      <c r="M23">
        <f t="shared" si="4"/>
        <v>8.5379999999999998E-2</v>
      </c>
      <c r="N23">
        <v>0</v>
      </c>
      <c r="O23">
        <f t="shared" si="5"/>
        <v>0.14890999999999999</v>
      </c>
      <c r="P23">
        <f t="shared" si="5"/>
        <v>0</v>
      </c>
      <c r="Q23">
        <f t="shared" si="5"/>
        <v>-1.20922</v>
      </c>
      <c r="R23">
        <f t="shared" si="6"/>
        <v>-9.5789299999999997</v>
      </c>
    </row>
    <row r="24" spans="1:18" x14ac:dyDescent="0.2">
      <c r="A24">
        <v>2022</v>
      </c>
      <c r="B24">
        <v>-8344.98</v>
      </c>
      <c r="C24">
        <v>355.92</v>
      </c>
      <c r="D24">
        <v>-834.81</v>
      </c>
      <c r="E24">
        <v>80.98</v>
      </c>
      <c r="F24">
        <v>173.11</v>
      </c>
      <c r="G24">
        <v>0</v>
      </c>
      <c r="H24">
        <v>-970.25</v>
      </c>
      <c r="I24">
        <f t="shared" si="1"/>
        <v>-8.3449799999999996</v>
      </c>
      <c r="J24">
        <v>0</v>
      </c>
      <c r="K24">
        <f t="shared" si="2"/>
        <v>0.35592000000000001</v>
      </c>
      <c r="L24">
        <f t="shared" si="3"/>
        <v>-0.83480999999999994</v>
      </c>
      <c r="M24">
        <f t="shared" si="4"/>
        <v>8.098000000000001E-2</v>
      </c>
      <c r="N24">
        <v>0</v>
      </c>
      <c r="O24">
        <f t="shared" si="5"/>
        <v>0.17311000000000001</v>
      </c>
      <c r="P24">
        <f t="shared" si="5"/>
        <v>0</v>
      </c>
      <c r="Q24">
        <f t="shared" si="5"/>
        <v>-0.97025000000000006</v>
      </c>
      <c r="R24">
        <f t="shared" si="6"/>
        <v>-9.5400299999999998</v>
      </c>
    </row>
    <row r="28" spans="1:18" x14ac:dyDescent="0.2">
      <c r="G28">
        <v>0.13485</v>
      </c>
    </row>
    <row r="29" spans="1:18" x14ac:dyDescent="0.2">
      <c r="G29">
        <v>8.7870000000000004E-2</v>
      </c>
    </row>
    <row r="30" spans="1:18" x14ac:dyDescent="0.2">
      <c r="G30">
        <v>0.11592000000000001</v>
      </c>
    </row>
    <row r="31" spans="1:18" x14ac:dyDescent="0.2">
      <c r="G31">
        <v>0.10508000000000001</v>
      </c>
    </row>
    <row r="32" spans="1:18" x14ac:dyDescent="0.2">
      <c r="G32">
        <v>0.10346</v>
      </c>
    </row>
    <row r="33" spans="7:7" x14ac:dyDescent="0.2">
      <c r="G33">
        <v>0.17619000000000001</v>
      </c>
    </row>
    <row r="34" spans="7:7" x14ac:dyDescent="0.2">
      <c r="G34">
        <v>0.17347000000000001</v>
      </c>
    </row>
    <row r="35" spans="7:7" x14ac:dyDescent="0.2">
      <c r="G35">
        <v>0.22787000000000002</v>
      </c>
    </row>
    <row r="36" spans="7:7" x14ac:dyDescent="0.2">
      <c r="G36">
        <v>0.38763999999999998</v>
      </c>
    </row>
    <row r="37" spans="7:7" x14ac:dyDescent="0.2">
      <c r="G37">
        <v>0.16728000000000001</v>
      </c>
    </row>
    <row r="38" spans="7:7" x14ac:dyDescent="0.2">
      <c r="G38">
        <v>0.27909</v>
      </c>
    </row>
    <row r="39" spans="7:7" x14ac:dyDescent="0.2">
      <c r="G39">
        <v>0.18693000000000001</v>
      </c>
    </row>
    <row r="40" spans="7:7" x14ac:dyDescent="0.2">
      <c r="G40">
        <v>0.19425999999999999</v>
      </c>
    </row>
    <row r="41" spans="7:7" x14ac:dyDescent="0.2">
      <c r="G41">
        <v>0.24915000000000001</v>
      </c>
    </row>
    <row r="42" spans="7:7" x14ac:dyDescent="0.2">
      <c r="G42">
        <v>0.15508000000000002</v>
      </c>
    </row>
    <row r="43" spans="7:7" x14ac:dyDescent="0.2">
      <c r="G43">
        <v>0.31208999999999998</v>
      </c>
    </row>
    <row r="44" spans="7:7" x14ac:dyDescent="0.2">
      <c r="G44">
        <v>0.25674999999999998</v>
      </c>
    </row>
    <row r="45" spans="7:7" x14ac:dyDescent="0.2">
      <c r="G45">
        <v>0.26110000000000005</v>
      </c>
    </row>
    <row r="46" spans="7:7" x14ac:dyDescent="0.2">
      <c r="G46">
        <v>0.15913999999999998</v>
      </c>
    </row>
    <row r="47" spans="7:7" x14ac:dyDescent="0.2">
      <c r="G47">
        <v>0.31295000000000001</v>
      </c>
    </row>
    <row r="48" spans="7:7" x14ac:dyDescent="0.2">
      <c r="G48">
        <v>0.17494000000000001</v>
      </c>
    </row>
    <row r="49" spans="7:7" x14ac:dyDescent="0.2">
      <c r="G49">
        <v>0.14890999999999999</v>
      </c>
    </row>
    <row r="50" spans="7:7" x14ac:dyDescent="0.2">
      <c r="G50">
        <v>0.17311000000000001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73E8-D0F5-5841-B473-F5F433FB02D1}">
  <dimension ref="A1:P24"/>
  <sheetViews>
    <sheetView workbookViewId="0">
      <selection activeCell="E33" sqref="E33"/>
    </sheetView>
  </sheetViews>
  <sheetFormatPr baseColWidth="10" defaultRowHeight="16" x14ac:dyDescent="0.2"/>
  <cols>
    <col min="2" max="4" width="13" bestFit="1" customWidth="1"/>
    <col min="5" max="6" width="12.5" bestFit="1" customWidth="1"/>
    <col min="7" max="7" width="12.33203125" bestFit="1" customWidth="1"/>
    <col min="8" max="10" width="13" bestFit="1" customWidth="1"/>
    <col min="11" max="12" width="12.5" bestFit="1" customWidth="1"/>
    <col min="13" max="13" width="12.33203125" bestFit="1" customWidth="1"/>
  </cols>
  <sheetData>
    <row r="1" spans="1:16" x14ac:dyDescent="0.2">
      <c r="A1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6" x14ac:dyDescent="0.2">
      <c r="A2">
        <v>2000</v>
      </c>
      <c r="B2">
        <v>6362.29</v>
      </c>
      <c r="C2">
        <v>37.616</v>
      </c>
      <c r="D2">
        <v>819.08</v>
      </c>
      <c r="E2">
        <v>32.700000000000003</v>
      </c>
      <c r="F2">
        <v>0</v>
      </c>
      <c r="G2">
        <v>6.69</v>
      </c>
      <c r="H2">
        <f t="shared" ref="H2:M2" si="0">B2*0.001</f>
        <v>6.3622899999999998</v>
      </c>
      <c r="I2">
        <f t="shared" si="0"/>
        <v>3.7616000000000004E-2</v>
      </c>
      <c r="J2">
        <f t="shared" si="0"/>
        <v>0.81908000000000003</v>
      </c>
      <c r="K2">
        <f t="shared" si="0"/>
        <v>3.2700000000000007E-2</v>
      </c>
      <c r="L2">
        <f t="shared" si="0"/>
        <v>0</v>
      </c>
      <c r="M2">
        <f t="shared" si="0"/>
        <v>6.6900000000000006E-3</v>
      </c>
      <c r="P2">
        <v>6.6900000000000006E-3</v>
      </c>
    </row>
    <row r="3" spans="1:16" x14ac:dyDescent="0.2">
      <c r="A3">
        <v>2001</v>
      </c>
      <c r="B3">
        <v>6299.6</v>
      </c>
      <c r="C3">
        <v>37.926000000000002</v>
      </c>
      <c r="D3">
        <v>821.71</v>
      </c>
      <c r="E3">
        <v>46.2</v>
      </c>
      <c r="F3">
        <v>0</v>
      </c>
      <c r="G3">
        <v>7.08</v>
      </c>
      <c r="H3">
        <f t="shared" ref="H3:H23" si="1">B3*0.001</f>
        <v>6.2996000000000008</v>
      </c>
      <c r="I3">
        <f t="shared" ref="I3:I24" si="2">C3*0.001</f>
        <v>3.7926000000000001E-2</v>
      </c>
      <c r="J3">
        <f t="shared" ref="J3:J24" si="3">D3*0.001</f>
        <v>0.82171000000000005</v>
      </c>
      <c r="K3">
        <f t="shared" ref="K3:K24" si="4">E3*0.001</f>
        <v>4.6200000000000005E-2</v>
      </c>
      <c r="L3">
        <f t="shared" ref="L3:L23" si="5">F3*0.001</f>
        <v>0</v>
      </c>
      <c r="M3">
        <f t="shared" ref="M3:M23" si="6">G3*0.001</f>
        <v>7.0800000000000004E-3</v>
      </c>
      <c r="P3">
        <v>7.0800000000000004E-3</v>
      </c>
    </row>
    <row r="4" spans="1:16" x14ac:dyDescent="0.2">
      <c r="A4">
        <v>2002</v>
      </c>
      <c r="B4">
        <v>5640.53</v>
      </c>
      <c r="C4">
        <v>33.94</v>
      </c>
      <c r="D4">
        <v>683.47</v>
      </c>
      <c r="E4">
        <v>60.95</v>
      </c>
      <c r="F4">
        <v>0</v>
      </c>
      <c r="G4">
        <v>7.49</v>
      </c>
      <c r="H4">
        <f t="shared" si="1"/>
        <v>5.64053</v>
      </c>
      <c r="I4">
        <f t="shared" si="2"/>
        <v>3.3939999999999998E-2</v>
      </c>
      <c r="J4">
        <f t="shared" si="3"/>
        <v>0.68347000000000002</v>
      </c>
      <c r="K4">
        <f t="shared" si="4"/>
        <v>6.0950000000000004E-2</v>
      </c>
      <c r="L4">
        <f t="shared" si="5"/>
        <v>0</v>
      </c>
      <c r="M4">
        <f t="shared" si="6"/>
        <v>7.4900000000000001E-3</v>
      </c>
      <c r="P4">
        <v>7.4900000000000001E-3</v>
      </c>
    </row>
    <row r="5" spans="1:16" x14ac:dyDescent="0.2">
      <c r="A5">
        <v>2003</v>
      </c>
      <c r="B5">
        <v>6237.47</v>
      </c>
      <c r="C5">
        <v>42.281999999999996</v>
      </c>
      <c r="D5">
        <v>709.36</v>
      </c>
      <c r="E5">
        <v>77.98</v>
      </c>
      <c r="F5">
        <v>0</v>
      </c>
      <c r="G5">
        <v>7.92</v>
      </c>
      <c r="H5">
        <f t="shared" si="1"/>
        <v>6.2374700000000001</v>
      </c>
      <c r="I5">
        <f t="shared" si="2"/>
        <v>4.2282E-2</v>
      </c>
      <c r="J5">
        <f t="shared" si="3"/>
        <v>0.70935999999999999</v>
      </c>
      <c r="K5">
        <f t="shared" si="4"/>
        <v>7.7980000000000008E-2</v>
      </c>
      <c r="L5">
        <f t="shared" si="5"/>
        <v>0</v>
      </c>
      <c r="M5">
        <f t="shared" si="6"/>
        <v>7.92E-3</v>
      </c>
      <c r="P5">
        <v>7.92E-3</v>
      </c>
    </row>
    <row r="6" spans="1:16" x14ac:dyDescent="0.2">
      <c r="A6">
        <v>2004</v>
      </c>
      <c r="B6">
        <v>6154.57</v>
      </c>
      <c r="C6">
        <v>36.398000000000003</v>
      </c>
      <c r="D6">
        <v>841.48</v>
      </c>
      <c r="E6">
        <v>104.77</v>
      </c>
      <c r="F6">
        <v>0</v>
      </c>
      <c r="G6">
        <v>8.3800000000000008</v>
      </c>
      <c r="H6">
        <f t="shared" si="1"/>
        <v>6.1545699999999997</v>
      </c>
      <c r="I6">
        <f t="shared" si="2"/>
        <v>3.6398000000000007E-2</v>
      </c>
      <c r="J6">
        <f t="shared" si="3"/>
        <v>0.84148000000000001</v>
      </c>
      <c r="K6">
        <f t="shared" si="4"/>
        <v>0.10477</v>
      </c>
      <c r="L6">
        <f t="shared" si="5"/>
        <v>0</v>
      </c>
      <c r="M6">
        <f t="shared" si="6"/>
        <v>8.3800000000000003E-3</v>
      </c>
      <c r="P6">
        <v>8.3800000000000003E-3</v>
      </c>
    </row>
    <row r="7" spans="1:16" x14ac:dyDescent="0.2">
      <c r="A7">
        <v>2005</v>
      </c>
      <c r="B7">
        <v>6490.88</v>
      </c>
      <c r="C7">
        <v>35.122</v>
      </c>
      <c r="D7">
        <v>904.79</v>
      </c>
      <c r="E7">
        <v>166.28</v>
      </c>
      <c r="F7">
        <v>0</v>
      </c>
      <c r="G7">
        <v>8.42</v>
      </c>
      <c r="H7">
        <f t="shared" si="1"/>
        <v>6.4908800000000006</v>
      </c>
      <c r="I7">
        <f t="shared" si="2"/>
        <v>3.5122E-2</v>
      </c>
      <c r="J7">
        <f t="shared" si="3"/>
        <v>0.90478999999999998</v>
      </c>
      <c r="K7">
        <f t="shared" si="4"/>
        <v>0.16628000000000001</v>
      </c>
      <c r="L7">
        <f t="shared" si="5"/>
        <v>0</v>
      </c>
      <c r="M7">
        <f t="shared" si="6"/>
        <v>8.4200000000000004E-3</v>
      </c>
      <c r="P7">
        <v>8.4200000000000004E-3</v>
      </c>
    </row>
    <row r="8" spans="1:16" x14ac:dyDescent="0.2">
      <c r="A8">
        <v>2006</v>
      </c>
      <c r="B8">
        <v>6589.19</v>
      </c>
      <c r="C8">
        <v>36.043999999999997</v>
      </c>
      <c r="D8">
        <v>496.49</v>
      </c>
      <c r="E8">
        <v>245.37</v>
      </c>
      <c r="F8">
        <v>0</v>
      </c>
      <c r="G8">
        <v>8.74</v>
      </c>
      <c r="H8">
        <f t="shared" si="1"/>
        <v>6.5891899999999994</v>
      </c>
      <c r="I8">
        <f t="shared" si="2"/>
        <v>3.6044E-2</v>
      </c>
      <c r="J8">
        <f t="shared" si="3"/>
        <v>0.49649000000000004</v>
      </c>
      <c r="K8">
        <f t="shared" si="4"/>
        <v>0.24537</v>
      </c>
      <c r="L8">
        <f t="shared" si="5"/>
        <v>0</v>
      </c>
      <c r="M8">
        <f t="shared" si="6"/>
        <v>8.7400000000000012E-3</v>
      </c>
      <c r="P8">
        <v>8.7400000000000012E-3</v>
      </c>
    </row>
    <row r="9" spans="1:16" x14ac:dyDescent="0.2">
      <c r="A9">
        <v>2007</v>
      </c>
      <c r="B9">
        <v>6905.19</v>
      </c>
      <c r="C9">
        <v>34.914000000000001</v>
      </c>
      <c r="D9">
        <v>606.65</v>
      </c>
      <c r="E9">
        <v>282.36</v>
      </c>
      <c r="F9">
        <v>0</v>
      </c>
      <c r="G9">
        <v>9.08</v>
      </c>
      <c r="H9">
        <f t="shared" si="1"/>
        <v>6.9051900000000002</v>
      </c>
      <c r="I9">
        <f t="shared" si="2"/>
        <v>3.4914000000000001E-2</v>
      </c>
      <c r="J9">
        <f t="shared" si="3"/>
        <v>0.60665000000000002</v>
      </c>
      <c r="K9">
        <f t="shared" si="4"/>
        <v>0.28236</v>
      </c>
      <c r="L9">
        <f t="shared" si="5"/>
        <v>0</v>
      </c>
      <c r="M9">
        <f t="shared" si="6"/>
        <v>9.0799999999999995E-3</v>
      </c>
      <c r="P9">
        <v>9.0799999999999995E-3</v>
      </c>
    </row>
    <row r="10" spans="1:16" x14ac:dyDescent="0.2">
      <c r="A10">
        <v>2008</v>
      </c>
      <c r="B10">
        <v>5878.99</v>
      </c>
      <c r="C10">
        <v>19.411999999999999</v>
      </c>
      <c r="D10">
        <v>583.02</v>
      </c>
      <c r="E10">
        <v>425.73</v>
      </c>
      <c r="F10">
        <v>2.1000000000000001E-2</v>
      </c>
      <c r="G10">
        <v>9.44</v>
      </c>
      <c r="H10">
        <f t="shared" si="1"/>
        <v>5.8789899999999999</v>
      </c>
      <c r="I10">
        <f t="shared" si="2"/>
        <v>1.9411999999999999E-2</v>
      </c>
      <c r="J10">
        <f t="shared" si="3"/>
        <v>0.58301999999999998</v>
      </c>
      <c r="K10">
        <f t="shared" si="4"/>
        <v>0.42573000000000005</v>
      </c>
      <c r="L10">
        <f t="shared" si="5"/>
        <v>2.1000000000000002E-5</v>
      </c>
      <c r="M10">
        <f t="shared" si="6"/>
        <v>9.4400000000000005E-3</v>
      </c>
      <c r="P10">
        <v>9.4400000000000005E-3</v>
      </c>
    </row>
    <row r="11" spans="1:16" x14ac:dyDescent="0.2">
      <c r="A11">
        <v>2009</v>
      </c>
      <c r="B11">
        <v>3143.25</v>
      </c>
      <c r="C11">
        <v>4.8710000000000004</v>
      </c>
      <c r="D11">
        <v>284.7</v>
      </c>
      <c r="E11">
        <v>418.14</v>
      </c>
      <c r="F11">
        <v>5.6000000000000001E-2</v>
      </c>
      <c r="G11">
        <v>9.81</v>
      </c>
      <c r="H11">
        <f t="shared" si="1"/>
        <v>3.1432500000000001</v>
      </c>
      <c r="I11">
        <f t="shared" si="2"/>
        <v>4.8710000000000003E-3</v>
      </c>
      <c r="J11">
        <f t="shared" si="3"/>
        <v>0.28470000000000001</v>
      </c>
      <c r="K11">
        <f t="shared" si="4"/>
        <v>0.41814000000000001</v>
      </c>
      <c r="L11">
        <f t="shared" si="5"/>
        <v>5.5999999999999999E-5</v>
      </c>
      <c r="M11">
        <f t="shared" si="6"/>
        <v>9.810000000000001E-3</v>
      </c>
      <c r="P11">
        <v>9.810000000000001E-3</v>
      </c>
    </row>
    <row r="12" spans="1:16" x14ac:dyDescent="0.2">
      <c r="A12">
        <v>2010</v>
      </c>
      <c r="B12">
        <v>3399.65</v>
      </c>
      <c r="C12">
        <v>1.6E-2</v>
      </c>
      <c r="D12">
        <v>286.20999999999998</v>
      </c>
      <c r="E12">
        <v>414.23</v>
      </c>
      <c r="F12">
        <v>0.10199999999999999</v>
      </c>
      <c r="G12">
        <v>19.34</v>
      </c>
      <c r="H12">
        <f t="shared" si="1"/>
        <v>3.3996500000000003</v>
      </c>
      <c r="I12">
        <f t="shared" si="2"/>
        <v>1.5999999999999999E-5</v>
      </c>
      <c r="J12">
        <f t="shared" si="3"/>
        <v>0.28620999999999996</v>
      </c>
      <c r="K12">
        <f t="shared" si="4"/>
        <v>0.41423000000000004</v>
      </c>
      <c r="L12">
        <f t="shared" si="5"/>
        <v>1.02E-4</v>
      </c>
      <c r="M12">
        <f t="shared" si="6"/>
        <v>1.934E-2</v>
      </c>
      <c r="P12">
        <v>1.934E-2</v>
      </c>
    </row>
    <row r="13" spans="1:16" x14ac:dyDescent="0.2">
      <c r="A13">
        <v>2011</v>
      </c>
      <c r="B13">
        <v>3921.94</v>
      </c>
      <c r="C13">
        <v>5.0000000000000001E-3</v>
      </c>
      <c r="D13">
        <v>252.1</v>
      </c>
      <c r="E13">
        <v>467.81</v>
      </c>
      <c r="F13">
        <v>0.1</v>
      </c>
      <c r="G13">
        <v>17.489999999999998</v>
      </c>
      <c r="H13">
        <f t="shared" si="1"/>
        <v>3.9219400000000002</v>
      </c>
      <c r="I13">
        <f t="shared" si="2"/>
        <v>5.0000000000000004E-6</v>
      </c>
      <c r="J13">
        <f t="shared" si="3"/>
        <v>0.25209999999999999</v>
      </c>
      <c r="K13">
        <f t="shared" si="4"/>
        <v>0.46781</v>
      </c>
      <c r="L13">
        <f t="shared" si="5"/>
        <v>1E-4</v>
      </c>
      <c r="M13">
        <f t="shared" si="6"/>
        <v>1.7489999999999999E-2</v>
      </c>
      <c r="P13">
        <v>1.7489999999999999E-2</v>
      </c>
    </row>
    <row r="14" spans="1:16" x14ac:dyDescent="0.2">
      <c r="A14">
        <v>2012</v>
      </c>
      <c r="B14">
        <v>3714.5</v>
      </c>
      <c r="C14">
        <v>1E-3</v>
      </c>
      <c r="D14">
        <v>153.97999999999999</v>
      </c>
      <c r="E14">
        <v>483.22</v>
      </c>
      <c r="F14">
        <v>4.7E-2</v>
      </c>
      <c r="G14">
        <v>16.59</v>
      </c>
      <c r="H14">
        <f t="shared" si="1"/>
        <v>3.7145000000000001</v>
      </c>
      <c r="I14">
        <f t="shared" si="2"/>
        <v>9.9999999999999995E-7</v>
      </c>
      <c r="J14">
        <f t="shared" si="3"/>
        <v>0.15398000000000001</v>
      </c>
      <c r="K14">
        <f t="shared" si="4"/>
        <v>0.48322000000000004</v>
      </c>
      <c r="L14">
        <f t="shared" si="5"/>
        <v>4.7000000000000004E-5</v>
      </c>
      <c r="M14">
        <f t="shared" si="6"/>
        <v>1.6590000000000001E-2</v>
      </c>
      <c r="P14">
        <v>1.6590000000000001E-2</v>
      </c>
    </row>
    <row r="15" spans="1:16" x14ac:dyDescent="0.2">
      <c r="A15">
        <v>2013</v>
      </c>
      <c r="B15">
        <v>3553.95</v>
      </c>
      <c r="C15">
        <v>1E-3</v>
      </c>
      <c r="D15">
        <v>137.94999999999999</v>
      </c>
      <c r="E15">
        <v>539.32000000000005</v>
      </c>
      <c r="F15">
        <v>3.9E-2</v>
      </c>
      <c r="G15">
        <v>21.05</v>
      </c>
      <c r="H15">
        <f t="shared" si="1"/>
        <v>3.5539499999999999</v>
      </c>
      <c r="I15">
        <f t="shared" si="2"/>
        <v>9.9999999999999995E-7</v>
      </c>
      <c r="J15">
        <f t="shared" si="3"/>
        <v>0.13794999999999999</v>
      </c>
      <c r="K15">
        <f t="shared" si="4"/>
        <v>0.53932000000000002</v>
      </c>
      <c r="L15">
        <f t="shared" si="5"/>
        <v>3.8999999999999999E-5</v>
      </c>
      <c r="M15">
        <f t="shared" si="6"/>
        <v>2.1050000000000003E-2</v>
      </c>
      <c r="P15">
        <v>2.1050000000000003E-2</v>
      </c>
    </row>
    <row r="16" spans="1:16" x14ac:dyDescent="0.2">
      <c r="A16">
        <v>2014</v>
      </c>
      <c r="B16">
        <v>3777.81</v>
      </c>
      <c r="C16">
        <v>1E-3</v>
      </c>
      <c r="D16">
        <v>139.9</v>
      </c>
      <c r="E16">
        <v>609.04</v>
      </c>
      <c r="F16">
        <v>3.3000000000000002E-2</v>
      </c>
      <c r="G16">
        <v>17.399999999999999</v>
      </c>
      <c r="H16">
        <f t="shared" si="1"/>
        <v>3.7778100000000001</v>
      </c>
      <c r="I16">
        <f t="shared" si="2"/>
        <v>9.9999999999999995E-7</v>
      </c>
      <c r="J16">
        <f t="shared" si="3"/>
        <v>0.1399</v>
      </c>
      <c r="K16">
        <f t="shared" si="4"/>
        <v>0.60904000000000003</v>
      </c>
      <c r="L16">
        <f t="shared" si="5"/>
        <v>3.3000000000000003E-5</v>
      </c>
      <c r="M16">
        <f t="shared" si="6"/>
        <v>1.7399999999999999E-2</v>
      </c>
      <c r="P16">
        <v>1.7399999999999999E-2</v>
      </c>
    </row>
    <row r="17" spans="1:16" x14ac:dyDescent="0.2">
      <c r="A17">
        <v>2015</v>
      </c>
      <c r="B17">
        <v>4311.3599999999997</v>
      </c>
      <c r="C17">
        <v>0</v>
      </c>
      <c r="D17">
        <v>140.65</v>
      </c>
      <c r="E17">
        <v>707.34</v>
      </c>
      <c r="F17">
        <v>2.8000000000000001E-2</v>
      </c>
      <c r="G17">
        <v>18.62</v>
      </c>
      <c r="H17">
        <f t="shared" si="1"/>
        <v>4.3113599999999996</v>
      </c>
      <c r="I17">
        <f t="shared" si="2"/>
        <v>0</v>
      </c>
      <c r="J17">
        <f t="shared" si="3"/>
        <v>0.14065</v>
      </c>
      <c r="K17">
        <f t="shared" si="4"/>
        <v>0.70734000000000008</v>
      </c>
      <c r="L17">
        <f t="shared" si="5"/>
        <v>2.8E-5</v>
      </c>
      <c r="M17">
        <f t="shared" si="6"/>
        <v>1.8620000000000001E-2</v>
      </c>
      <c r="P17">
        <v>1.8620000000000001E-2</v>
      </c>
    </row>
    <row r="18" spans="1:16" x14ac:dyDescent="0.2">
      <c r="A18">
        <v>2016</v>
      </c>
      <c r="B18">
        <v>4495.83</v>
      </c>
      <c r="C18">
        <v>0</v>
      </c>
      <c r="D18">
        <v>126.7</v>
      </c>
      <c r="E18">
        <v>738.67</v>
      </c>
      <c r="F18">
        <v>2.3E-2</v>
      </c>
      <c r="G18">
        <v>19.32</v>
      </c>
      <c r="H18">
        <f t="shared" si="1"/>
        <v>4.4958299999999998</v>
      </c>
      <c r="I18">
        <f t="shared" si="2"/>
        <v>0</v>
      </c>
      <c r="J18">
        <f t="shared" si="3"/>
        <v>0.12670000000000001</v>
      </c>
      <c r="K18">
        <f t="shared" si="4"/>
        <v>0.73866999999999994</v>
      </c>
      <c r="L18">
        <f t="shared" si="5"/>
        <v>2.3E-5</v>
      </c>
      <c r="M18">
        <f t="shared" si="6"/>
        <v>1.932E-2</v>
      </c>
      <c r="P18">
        <v>1.932E-2</v>
      </c>
    </row>
    <row r="19" spans="1:16" x14ac:dyDescent="0.2">
      <c r="A19">
        <v>2017</v>
      </c>
      <c r="B19">
        <v>4394.84</v>
      </c>
      <c r="C19">
        <v>0</v>
      </c>
      <c r="D19">
        <v>105.51</v>
      </c>
      <c r="E19">
        <v>739.16</v>
      </c>
      <c r="F19">
        <v>0.03</v>
      </c>
      <c r="G19">
        <v>18.05</v>
      </c>
      <c r="H19">
        <f t="shared" si="1"/>
        <v>4.3948400000000003</v>
      </c>
      <c r="I19">
        <f t="shared" si="2"/>
        <v>0</v>
      </c>
      <c r="J19">
        <f t="shared" si="3"/>
        <v>0.10551000000000001</v>
      </c>
      <c r="K19">
        <f t="shared" si="4"/>
        <v>0.73915999999999993</v>
      </c>
      <c r="L19">
        <f t="shared" si="5"/>
        <v>3.0000000000000001E-5</v>
      </c>
      <c r="M19">
        <f t="shared" si="6"/>
        <v>1.805E-2</v>
      </c>
      <c r="P19">
        <v>1.805E-2</v>
      </c>
    </row>
    <row r="20" spans="1:16" x14ac:dyDescent="0.2">
      <c r="A20">
        <v>2018</v>
      </c>
      <c r="B20">
        <v>4044.78</v>
      </c>
      <c r="C20">
        <v>0</v>
      </c>
      <c r="D20">
        <v>127.59</v>
      </c>
      <c r="E20">
        <v>744.42</v>
      </c>
      <c r="F20">
        <v>0.01</v>
      </c>
      <c r="G20">
        <v>18.54</v>
      </c>
      <c r="H20">
        <f t="shared" si="1"/>
        <v>4.0447800000000003</v>
      </c>
      <c r="I20">
        <f t="shared" si="2"/>
        <v>0</v>
      </c>
      <c r="J20">
        <f t="shared" si="3"/>
        <v>0.12759000000000001</v>
      </c>
      <c r="K20">
        <f t="shared" si="4"/>
        <v>0.74441999999999997</v>
      </c>
      <c r="L20">
        <f t="shared" si="5"/>
        <v>1.0000000000000001E-5</v>
      </c>
      <c r="M20">
        <f t="shared" si="6"/>
        <v>1.8540000000000001E-2</v>
      </c>
      <c r="P20">
        <v>1.8540000000000001E-2</v>
      </c>
    </row>
    <row r="21" spans="1:16" x14ac:dyDescent="0.2">
      <c r="A21">
        <v>2019</v>
      </c>
      <c r="B21">
        <v>3679.05</v>
      </c>
      <c r="C21">
        <v>0</v>
      </c>
      <c r="D21">
        <v>98.43</v>
      </c>
      <c r="E21">
        <v>806.46</v>
      </c>
      <c r="F21">
        <v>0.01</v>
      </c>
      <c r="G21">
        <v>18.82</v>
      </c>
      <c r="H21">
        <f t="shared" si="1"/>
        <v>3.6790500000000002</v>
      </c>
      <c r="I21">
        <f t="shared" si="2"/>
        <v>0</v>
      </c>
      <c r="J21">
        <f t="shared" si="3"/>
        <v>9.8430000000000004E-2</v>
      </c>
      <c r="K21">
        <f t="shared" si="4"/>
        <v>0.80646000000000007</v>
      </c>
      <c r="L21">
        <f t="shared" si="5"/>
        <v>1.0000000000000001E-5</v>
      </c>
      <c r="M21">
        <f t="shared" si="6"/>
        <v>1.882E-2</v>
      </c>
      <c r="P21">
        <v>1.882E-2</v>
      </c>
    </row>
    <row r="22" spans="1:16" x14ac:dyDescent="0.2">
      <c r="A22">
        <v>2020</v>
      </c>
      <c r="B22">
        <v>3423.14</v>
      </c>
      <c r="C22">
        <v>0</v>
      </c>
      <c r="D22">
        <v>93.14</v>
      </c>
      <c r="E22">
        <v>794.62</v>
      </c>
      <c r="F22">
        <v>0.01</v>
      </c>
      <c r="G22">
        <v>20.45</v>
      </c>
      <c r="H22">
        <f t="shared" si="1"/>
        <v>3.4231400000000001</v>
      </c>
      <c r="I22">
        <f t="shared" si="2"/>
        <v>0</v>
      </c>
      <c r="J22">
        <f t="shared" si="3"/>
        <v>9.3140000000000001E-2</v>
      </c>
      <c r="K22">
        <f t="shared" si="4"/>
        <v>0.79461999999999999</v>
      </c>
      <c r="L22">
        <f t="shared" si="5"/>
        <v>1.0000000000000001E-5</v>
      </c>
      <c r="M22">
        <f t="shared" si="6"/>
        <v>2.0449999999999999E-2</v>
      </c>
      <c r="P22">
        <v>2.0449999999999999E-2</v>
      </c>
    </row>
    <row r="23" spans="1:16" x14ac:dyDescent="0.2">
      <c r="A23">
        <v>2021</v>
      </c>
      <c r="B23">
        <v>3695.03</v>
      </c>
      <c r="C23">
        <v>0</v>
      </c>
      <c r="D23">
        <v>84.65</v>
      </c>
      <c r="E23">
        <v>788.85</v>
      </c>
      <c r="F23">
        <v>0.01</v>
      </c>
      <c r="G23">
        <v>23.27</v>
      </c>
      <c r="H23">
        <f t="shared" si="1"/>
        <v>3.6950300000000005</v>
      </c>
      <c r="I23">
        <f t="shared" si="2"/>
        <v>0</v>
      </c>
      <c r="J23">
        <f t="shared" si="3"/>
        <v>8.4650000000000003E-2</v>
      </c>
      <c r="K23">
        <f t="shared" si="4"/>
        <v>0.78885000000000005</v>
      </c>
      <c r="L23">
        <f t="shared" si="5"/>
        <v>1.0000000000000001E-5</v>
      </c>
      <c r="M23">
        <f t="shared" si="6"/>
        <v>2.3269999999999999E-2</v>
      </c>
      <c r="P23">
        <v>2.3269999999999999E-2</v>
      </c>
    </row>
    <row r="24" spans="1:16" x14ac:dyDescent="0.2">
      <c r="A24">
        <v>2022</v>
      </c>
      <c r="B24">
        <v>3778.08</v>
      </c>
      <c r="C24">
        <v>0</v>
      </c>
      <c r="D24">
        <v>79.87</v>
      </c>
      <c r="E24">
        <v>701.85</v>
      </c>
      <c r="F24">
        <v>0.01</v>
      </c>
      <c r="G24">
        <v>23.96</v>
      </c>
      <c r="H24">
        <f>B24*0.001</f>
        <v>3.7780800000000001</v>
      </c>
      <c r="I24">
        <f t="shared" si="2"/>
        <v>0</v>
      </c>
      <c r="J24">
        <f t="shared" si="3"/>
        <v>7.987000000000001E-2</v>
      </c>
      <c r="K24">
        <f t="shared" si="4"/>
        <v>0.70185000000000008</v>
      </c>
      <c r="L24">
        <f>F24*0.001</f>
        <v>1.0000000000000001E-5</v>
      </c>
      <c r="M24">
        <f>G24*0.001</f>
        <v>2.3960000000000002E-2</v>
      </c>
      <c r="P24">
        <v>2.3960000000000002E-2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3128-EA6E-6547-89B9-093B5B0BC3B2}">
  <dimension ref="A1:U56"/>
  <sheetViews>
    <sheetView topLeftCell="K11" zoomScale="126" zoomScaleNormal="126" workbookViewId="0">
      <selection activeCell="P34" sqref="P34:P56"/>
    </sheetView>
  </sheetViews>
  <sheetFormatPr baseColWidth="10" defaultRowHeight="16" x14ac:dyDescent="0.2"/>
  <cols>
    <col min="1" max="1" width="5.1640625" bestFit="1" customWidth="1"/>
    <col min="2" max="2" width="21.83203125" bestFit="1" customWidth="1"/>
    <col min="3" max="3" width="22.6640625" bestFit="1" customWidth="1"/>
    <col min="4" max="4" width="17.1640625" bestFit="1" customWidth="1"/>
    <col min="5" max="5" width="18.33203125" bestFit="1" customWidth="1"/>
    <col min="6" max="6" width="36" bestFit="1" customWidth="1"/>
    <col min="8" max="8" width="18.1640625" bestFit="1" customWidth="1"/>
    <col min="9" max="9" width="23.6640625" bestFit="1" customWidth="1"/>
    <col min="10" max="10" width="24" bestFit="1" customWidth="1"/>
    <col min="11" max="11" width="19" bestFit="1" customWidth="1"/>
    <col min="12" max="12" width="20.1640625" bestFit="1" customWidth="1"/>
    <col min="13" max="13" width="37.5" bestFit="1" customWidth="1"/>
    <col min="14" max="14" width="11.1640625" bestFit="1" customWidth="1"/>
    <col min="15" max="15" width="20" bestFit="1" customWidth="1"/>
  </cols>
  <sheetData>
    <row r="1" spans="1:21" x14ac:dyDescent="0.2">
      <c r="A1" s="3" t="s">
        <v>48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83</v>
      </c>
      <c r="Q1" s="1" t="s">
        <v>84</v>
      </c>
      <c r="R1" s="1" t="s">
        <v>85</v>
      </c>
      <c r="S1" s="1" t="s">
        <v>108</v>
      </c>
      <c r="T1" s="1" t="s">
        <v>107</v>
      </c>
      <c r="U1" s="1" t="s">
        <v>102</v>
      </c>
    </row>
    <row r="2" spans="1:21" x14ac:dyDescent="0.2">
      <c r="A2" s="3">
        <v>2000</v>
      </c>
      <c r="B2">
        <v>2367.48</v>
      </c>
      <c r="C2">
        <v>624.32000000000005</v>
      </c>
      <c r="D2">
        <v>36.020000000000003</v>
      </c>
      <c r="E2">
        <v>1978.34</v>
      </c>
      <c r="F2">
        <v>16.46</v>
      </c>
      <c r="G2">
        <v>25.78</v>
      </c>
      <c r="H2">
        <v>15.56</v>
      </c>
      <c r="I2">
        <f>B2*0.001</f>
        <v>2.36748</v>
      </c>
      <c r="J2">
        <f t="shared" ref="J2" si="0">C2*0.001</f>
        <v>0.6243200000000001</v>
      </c>
      <c r="K2">
        <f t="shared" ref="K2:K13" si="1">D2*0.001</f>
        <v>3.6020000000000003E-2</v>
      </c>
      <c r="L2">
        <f t="shared" ref="L2:L13" si="2">E2*0.001</f>
        <v>1.97834</v>
      </c>
      <c r="M2">
        <f t="shared" ref="M2:M13" si="3">F2*0.001</f>
        <v>1.6460000000000002E-2</v>
      </c>
      <c r="N2">
        <f t="shared" ref="N2:N13" si="4">G2*0.001</f>
        <v>2.5780000000000001E-2</v>
      </c>
      <c r="O2">
        <f t="shared" ref="O2:O13" si="5">H2*0.001</f>
        <v>1.5560000000000001E-2</v>
      </c>
      <c r="P2">
        <f>K2+(M2/2)</f>
        <v>4.4250000000000005E-2</v>
      </c>
      <c r="Q2">
        <f>O2+N2+(M2/2)</f>
        <v>4.9570000000000003E-2</v>
      </c>
      <c r="R2">
        <f>L2</f>
        <v>1.97834</v>
      </c>
      <c r="S2">
        <f>(C2*0.001)/2</f>
        <v>0.31216000000000005</v>
      </c>
      <c r="T2">
        <f>((C2/2)+B2)*0.001</f>
        <v>2.67964</v>
      </c>
      <c r="U2">
        <f>SUM(P2:T2)</f>
        <v>5.0639599999999998</v>
      </c>
    </row>
    <row r="3" spans="1:21" x14ac:dyDescent="0.2">
      <c r="A3" s="3">
        <v>2001</v>
      </c>
      <c r="B3">
        <v>2286.67</v>
      </c>
      <c r="C3">
        <v>628.41</v>
      </c>
      <c r="D3">
        <v>37.979999999999997</v>
      </c>
      <c r="E3">
        <v>2023.63</v>
      </c>
      <c r="F3">
        <v>16.850000000000001</v>
      </c>
      <c r="G3">
        <v>25.12</v>
      </c>
      <c r="H3">
        <v>16.89</v>
      </c>
      <c r="I3">
        <f t="shared" ref="I3:I13" si="6">B3*0.001</f>
        <v>2.28667</v>
      </c>
      <c r="J3">
        <f t="shared" ref="J3:J13" si="7">C3*0.001</f>
        <v>0.62841000000000002</v>
      </c>
      <c r="K3">
        <f t="shared" si="1"/>
        <v>3.798E-2</v>
      </c>
      <c r="L3">
        <f t="shared" si="2"/>
        <v>2.0236300000000003</v>
      </c>
      <c r="M3">
        <f t="shared" si="3"/>
        <v>1.685E-2</v>
      </c>
      <c r="N3">
        <f t="shared" si="4"/>
        <v>2.512E-2</v>
      </c>
      <c r="O3">
        <f t="shared" si="5"/>
        <v>1.6890000000000002E-2</v>
      </c>
      <c r="P3">
        <f t="shared" ref="P3:P24" si="8">K3+(M3/2)</f>
        <v>4.6405000000000002E-2</v>
      </c>
      <c r="Q3">
        <f t="shared" ref="Q3:Q24" si="9">O3+N3+(M3/2)</f>
        <v>5.0435000000000008E-2</v>
      </c>
      <c r="R3">
        <f t="shared" ref="R3:R24" si="10">L3</f>
        <v>2.0236300000000003</v>
      </c>
      <c r="S3">
        <f t="shared" ref="S3:S24" si="11">(C3*0.001)/2</f>
        <v>0.31420500000000001</v>
      </c>
      <c r="T3">
        <f t="shared" ref="T3:T24" si="12">((C3/2)+B3)*0.001</f>
        <v>2.6008750000000003</v>
      </c>
      <c r="U3">
        <f t="shared" ref="U3:U24" si="13">SUM(P3:T3)</f>
        <v>5.0355500000000006</v>
      </c>
    </row>
    <row r="4" spans="1:21" x14ac:dyDescent="0.2">
      <c r="A4" s="3">
        <v>2002</v>
      </c>
      <c r="B4">
        <v>2205.86</v>
      </c>
      <c r="C4">
        <v>632.5</v>
      </c>
      <c r="D4">
        <v>39.94</v>
      </c>
      <c r="E4">
        <v>2068.92</v>
      </c>
      <c r="F4">
        <v>17.239999999999998</v>
      </c>
      <c r="G4">
        <v>24.45</v>
      </c>
      <c r="H4">
        <v>18.22</v>
      </c>
      <c r="I4">
        <f t="shared" si="6"/>
        <v>2.2058600000000004</v>
      </c>
      <c r="J4">
        <f t="shared" si="7"/>
        <v>0.63250000000000006</v>
      </c>
      <c r="K4">
        <f t="shared" si="1"/>
        <v>3.9939999999999996E-2</v>
      </c>
      <c r="L4">
        <f t="shared" si="2"/>
        <v>2.0689200000000003</v>
      </c>
      <c r="M4">
        <f t="shared" si="3"/>
        <v>1.7239999999999998E-2</v>
      </c>
      <c r="N4">
        <f t="shared" si="4"/>
        <v>2.445E-2</v>
      </c>
      <c r="O4">
        <f t="shared" si="5"/>
        <v>1.822E-2</v>
      </c>
      <c r="P4">
        <f t="shared" si="8"/>
        <v>4.8559999999999992E-2</v>
      </c>
      <c r="Q4">
        <f t="shared" si="9"/>
        <v>5.1290000000000002E-2</v>
      </c>
      <c r="R4">
        <f t="shared" si="10"/>
        <v>2.0689200000000003</v>
      </c>
      <c r="S4">
        <f t="shared" si="11"/>
        <v>0.31625000000000003</v>
      </c>
      <c r="T4">
        <f t="shared" si="12"/>
        <v>2.5221100000000001</v>
      </c>
      <c r="U4">
        <f t="shared" si="13"/>
        <v>5.0071300000000001</v>
      </c>
    </row>
    <row r="5" spans="1:21" x14ac:dyDescent="0.2">
      <c r="A5" s="3">
        <v>2003</v>
      </c>
      <c r="B5">
        <v>2125.0500000000002</v>
      </c>
      <c r="C5">
        <v>636.59</v>
      </c>
      <c r="D5">
        <v>41.9</v>
      </c>
      <c r="E5">
        <v>2114.21</v>
      </c>
      <c r="F5">
        <v>17.63</v>
      </c>
      <c r="G5">
        <v>23.79</v>
      </c>
      <c r="H5">
        <v>19.55</v>
      </c>
      <c r="I5">
        <f t="shared" si="6"/>
        <v>2.1250500000000003</v>
      </c>
      <c r="J5">
        <f t="shared" si="7"/>
        <v>0.6365900000000001</v>
      </c>
      <c r="K5">
        <f t="shared" si="1"/>
        <v>4.19E-2</v>
      </c>
      <c r="L5">
        <f t="shared" si="2"/>
        <v>2.1142099999999999</v>
      </c>
      <c r="M5">
        <f t="shared" si="3"/>
        <v>1.763E-2</v>
      </c>
      <c r="N5">
        <f t="shared" si="4"/>
        <v>2.3789999999999999E-2</v>
      </c>
      <c r="O5">
        <f t="shared" si="5"/>
        <v>1.9550000000000001E-2</v>
      </c>
      <c r="P5">
        <f t="shared" si="8"/>
        <v>5.0714999999999996E-2</v>
      </c>
      <c r="Q5">
        <f t="shared" si="9"/>
        <v>5.2155000000000007E-2</v>
      </c>
      <c r="R5">
        <f t="shared" si="10"/>
        <v>2.1142099999999999</v>
      </c>
      <c r="S5">
        <f t="shared" si="11"/>
        <v>0.31829500000000005</v>
      </c>
      <c r="T5">
        <f t="shared" si="12"/>
        <v>2.4433450000000003</v>
      </c>
      <c r="U5">
        <f t="shared" si="13"/>
        <v>4.97872</v>
      </c>
    </row>
    <row r="6" spans="1:21" x14ac:dyDescent="0.2">
      <c r="A6" s="3">
        <v>2004</v>
      </c>
      <c r="B6">
        <v>2044.24</v>
      </c>
      <c r="C6">
        <v>640.67999999999995</v>
      </c>
      <c r="D6">
        <v>43.86</v>
      </c>
      <c r="E6">
        <v>2159.5</v>
      </c>
      <c r="F6">
        <v>18.02</v>
      </c>
      <c r="G6">
        <v>23.12</v>
      </c>
      <c r="H6">
        <v>20.88</v>
      </c>
      <c r="I6">
        <f t="shared" si="6"/>
        <v>2.0442399999999998</v>
      </c>
      <c r="J6">
        <f t="shared" si="7"/>
        <v>0.64067999999999992</v>
      </c>
      <c r="K6">
        <f t="shared" si="1"/>
        <v>4.3860000000000003E-2</v>
      </c>
      <c r="L6">
        <f t="shared" si="2"/>
        <v>2.1595</v>
      </c>
      <c r="M6">
        <f t="shared" si="3"/>
        <v>1.8020000000000001E-2</v>
      </c>
      <c r="N6">
        <f t="shared" si="4"/>
        <v>2.3120000000000002E-2</v>
      </c>
      <c r="O6">
        <f t="shared" si="5"/>
        <v>2.0879999999999999E-2</v>
      </c>
      <c r="P6">
        <f t="shared" si="8"/>
        <v>5.287E-2</v>
      </c>
      <c r="Q6">
        <f t="shared" si="9"/>
        <v>5.3010000000000002E-2</v>
      </c>
      <c r="R6">
        <f t="shared" si="10"/>
        <v>2.1595</v>
      </c>
      <c r="S6">
        <f t="shared" si="11"/>
        <v>0.32033999999999996</v>
      </c>
      <c r="T6">
        <f t="shared" si="12"/>
        <v>2.3645800000000001</v>
      </c>
      <c r="U6">
        <f t="shared" si="13"/>
        <v>4.9503000000000004</v>
      </c>
    </row>
    <row r="7" spans="1:21" x14ac:dyDescent="0.2">
      <c r="A7" s="3">
        <v>2005</v>
      </c>
      <c r="B7">
        <v>2064.46</v>
      </c>
      <c r="C7">
        <v>686.79</v>
      </c>
      <c r="D7">
        <v>45.4</v>
      </c>
      <c r="E7">
        <v>2102.8200000000002</v>
      </c>
      <c r="F7">
        <v>17.93</v>
      </c>
      <c r="G7">
        <v>23.48</v>
      </c>
      <c r="H7">
        <v>24.21</v>
      </c>
      <c r="I7">
        <f t="shared" si="6"/>
        <v>2.06446</v>
      </c>
      <c r="J7">
        <f t="shared" si="7"/>
        <v>0.68679000000000001</v>
      </c>
      <c r="K7">
        <f t="shared" si="1"/>
        <v>4.5400000000000003E-2</v>
      </c>
      <c r="L7">
        <f t="shared" si="2"/>
        <v>2.1028200000000004</v>
      </c>
      <c r="M7">
        <f t="shared" si="3"/>
        <v>1.7930000000000001E-2</v>
      </c>
      <c r="N7">
        <f t="shared" si="4"/>
        <v>2.3480000000000001E-2</v>
      </c>
      <c r="O7">
        <f t="shared" si="5"/>
        <v>2.4210000000000002E-2</v>
      </c>
      <c r="P7">
        <f t="shared" si="8"/>
        <v>5.4365000000000004E-2</v>
      </c>
      <c r="Q7">
        <f t="shared" si="9"/>
        <v>5.6655000000000004E-2</v>
      </c>
      <c r="R7">
        <f t="shared" si="10"/>
        <v>2.1028200000000004</v>
      </c>
      <c r="S7">
        <f t="shared" si="11"/>
        <v>0.34339500000000001</v>
      </c>
      <c r="T7">
        <f t="shared" si="12"/>
        <v>2.4078550000000001</v>
      </c>
      <c r="U7">
        <f t="shared" si="13"/>
        <v>4.96509</v>
      </c>
    </row>
    <row r="8" spans="1:21" x14ac:dyDescent="0.2">
      <c r="A8" s="3">
        <v>2006</v>
      </c>
      <c r="B8">
        <v>1986.38</v>
      </c>
      <c r="C8">
        <v>672.61</v>
      </c>
      <c r="D8">
        <v>58.36</v>
      </c>
      <c r="E8">
        <v>2227.9299999999998</v>
      </c>
      <c r="F8">
        <v>19.46</v>
      </c>
      <c r="G8">
        <v>24.58</v>
      </c>
      <c r="H8">
        <v>26.17</v>
      </c>
      <c r="I8">
        <f t="shared" si="6"/>
        <v>1.9863800000000003</v>
      </c>
      <c r="J8">
        <f t="shared" si="7"/>
        <v>0.67261000000000004</v>
      </c>
      <c r="K8">
        <f t="shared" si="1"/>
        <v>5.8360000000000002E-2</v>
      </c>
      <c r="L8">
        <f t="shared" si="2"/>
        <v>2.2279299999999997</v>
      </c>
      <c r="M8">
        <f t="shared" si="3"/>
        <v>1.9460000000000002E-2</v>
      </c>
      <c r="N8">
        <f t="shared" si="4"/>
        <v>2.4579999999999998E-2</v>
      </c>
      <c r="O8">
        <f t="shared" si="5"/>
        <v>2.6170000000000002E-2</v>
      </c>
      <c r="P8">
        <f t="shared" si="8"/>
        <v>6.8089999999999998E-2</v>
      </c>
      <c r="Q8">
        <f t="shared" si="9"/>
        <v>6.0480000000000006E-2</v>
      </c>
      <c r="R8">
        <f t="shared" si="10"/>
        <v>2.2279299999999997</v>
      </c>
      <c r="S8">
        <f t="shared" si="11"/>
        <v>0.33630500000000002</v>
      </c>
      <c r="T8">
        <f t="shared" si="12"/>
        <v>2.3226849999999999</v>
      </c>
      <c r="U8">
        <f t="shared" si="13"/>
        <v>5.0154899999999998</v>
      </c>
    </row>
    <row r="9" spans="1:21" x14ac:dyDescent="0.2">
      <c r="A9" s="3">
        <v>2007</v>
      </c>
      <c r="B9">
        <v>1908.3</v>
      </c>
      <c r="C9">
        <v>658.43</v>
      </c>
      <c r="D9">
        <v>71.319999999999993</v>
      </c>
      <c r="E9">
        <v>2353.04</v>
      </c>
      <c r="F9">
        <v>20.99</v>
      </c>
      <c r="G9">
        <v>25.67</v>
      </c>
      <c r="H9">
        <v>28.13</v>
      </c>
      <c r="I9">
        <f t="shared" si="6"/>
        <v>1.9082999999999999</v>
      </c>
      <c r="J9">
        <f t="shared" si="7"/>
        <v>0.65842999999999996</v>
      </c>
      <c r="K9">
        <f t="shared" si="1"/>
        <v>7.1319999999999995E-2</v>
      </c>
      <c r="L9">
        <f t="shared" si="2"/>
        <v>2.35304</v>
      </c>
      <c r="M9">
        <f t="shared" si="3"/>
        <v>2.0989999999999998E-2</v>
      </c>
      <c r="N9">
        <f t="shared" si="4"/>
        <v>2.5670000000000002E-2</v>
      </c>
      <c r="O9">
        <f t="shared" si="5"/>
        <v>2.8129999999999999E-2</v>
      </c>
      <c r="P9">
        <f t="shared" si="8"/>
        <v>8.1814999999999999E-2</v>
      </c>
      <c r="Q9">
        <f t="shared" si="9"/>
        <v>6.4295000000000005E-2</v>
      </c>
      <c r="R9">
        <f t="shared" si="10"/>
        <v>2.35304</v>
      </c>
      <c r="S9">
        <f t="shared" si="11"/>
        <v>0.32921499999999998</v>
      </c>
      <c r="T9">
        <f t="shared" si="12"/>
        <v>2.2375149999999997</v>
      </c>
      <c r="U9">
        <f t="shared" si="13"/>
        <v>5.0658799999999999</v>
      </c>
    </row>
    <row r="10" spans="1:21" x14ac:dyDescent="0.2">
      <c r="A10" s="3">
        <v>2008</v>
      </c>
      <c r="B10">
        <v>1830.22</v>
      </c>
      <c r="C10">
        <v>644.25</v>
      </c>
      <c r="D10">
        <v>84.28</v>
      </c>
      <c r="E10">
        <v>2478.15</v>
      </c>
      <c r="F10">
        <v>22.52</v>
      </c>
      <c r="G10">
        <v>26.76</v>
      </c>
      <c r="H10">
        <v>30.09</v>
      </c>
      <c r="I10">
        <f t="shared" si="6"/>
        <v>1.83022</v>
      </c>
      <c r="J10">
        <f t="shared" si="7"/>
        <v>0.64424999999999999</v>
      </c>
      <c r="K10">
        <f t="shared" si="1"/>
        <v>8.4280000000000008E-2</v>
      </c>
      <c r="L10">
        <f t="shared" si="2"/>
        <v>2.4781500000000003</v>
      </c>
      <c r="M10">
        <f t="shared" si="3"/>
        <v>2.2519999999999998E-2</v>
      </c>
      <c r="N10">
        <f t="shared" si="4"/>
        <v>2.6760000000000003E-2</v>
      </c>
      <c r="O10">
        <f t="shared" si="5"/>
        <v>3.0090000000000002E-2</v>
      </c>
      <c r="P10">
        <f t="shared" si="8"/>
        <v>9.5540000000000014E-2</v>
      </c>
      <c r="Q10">
        <f t="shared" si="9"/>
        <v>6.8110000000000004E-2</v>
      </c>
      <c r="R10">
        <f t="shared" si="10"/>
        <v>2.4781500000000003</v>
      </c>
      <c r="S10">
        <f t="shared" si="11"/>
        <v>0.32212499999999999</v>
      </c>
      <c r="T10">
        <f t="shared" si="12"/>
        <v>2.1523450000000004</v>
      </c>
      <c r="U10">
        <f t="shared" si="13"/>
        <v>5.116270000000001</v>
      </c>
    </row>
    <row r="11" spans="1:21" x14ac:dyDescent="0.2">
      <c r="A11" s="3">
        <v>2009</v>
      </c>
      <c r="B11">
        <v>1752.14</v>
      </c>
      <c r="C11">
        <v>630.16999999999996</v>
      </c>
      <c r="D11">
        <v>97.24</v>
      </c>
      <c r="E11">
        <v>2603.2600000000002</v>
      </c>
      <c r="F11">
        <v>24.05</v>
      </c>
      <c r="G11">
        <v>27.86</v>
      </c>
      <c r="H11">
        <v>32.049999999999997</v>
      </c>
      <c r="I11">
        <f t="shared" si="6"/>
        <v>1.75214</v>
      </c>
      <c r="J11">
        <f t="shared" si="7"/>
        <v>0.63017000000000001</v>
      </c>
      <c r="K11">
        <f t="shared" si="1"/>
        <v>9.7239999999999993E-2</v>
      </c>
      <c r="L11">
        <f t="shared" si="2"/>
        <v>2.6032600000000001</v>
      </c>
      <c r="M11">
        <f t="shared" si="3"/>
        <v>2.4050000000000002E-2</v>
      </c>
      <c r="N11">
        <f t="shared" si="4"/>
        <v>2.7859999999999999E-2</v>
      </c>
      <c r="O11">
        <f t="shared" si="5"/>
        <v>3.2049999999999995E-2</v>
      </c>
      <c r="P11">
        <f t="shared" si="8"/>
        <v>0.109265</v>
      </c>
      <c r="Q11">
        <f t="shared" si="9"/>
        <v>7.1934999999999999E-2</v>
      </c>
      <c r="R11">
        <f t="shared" si="10"/>
        <v>2.6032600000000001</v>
      </c>
      <c r="S11">
        <f t="shared" si="11"/>
        <v>0.315085</v>
      </c>
      <c r="T11">
        <f t="shared" si="12"/>
        <v>2.0672250000000001</v>
      </c>
      <c r="U11">
        <f t="shared" si="13"/>
        <v>5.1667699999999996</v>
      </c>
    </row>
    <row r="12" spans="1:21" x14ac:dyDescent="0.2">
      <c r="A12" s="3">
        <v>2010</v>
      </c>
      <c r="B12">
        <v>1718.38</v>
      </c>
      <c r="C12">
        <v>620.88</v>
      </c>
      <c r="D12">
        <v>120.81</v>
      </c>
      <c r="E12">
        <v>2625.35</v>
      </c>
      <c r="F12">
        <v>27.49</v>
      </c>
      <c r="G12">
        <v>34.96</v>
      </c>
      <c r="H12">
        <v>36.11</v>
      </c>
      <c r="I12">
        <f t="shared" si="6"/>
        <v>1.7183800000000002</v>
      </c>
      <c r="J12">
        <f t="shared" si="7"/>
        <v>0.62087999999999999</v>
      </c>
      <c r="K12">
        <f t="shared" si="1"/>
        <v>0.12081</v>
      </c>
      <c r="L12">
        <f t="shared" si="2"/>
        <v>2.6253500000000001</v>
      </c>
      <c r="M12">
        <f t="shared" si="3"/>
        <v>2.7490000000000001E-2</v>
      </c>
      <c r="N12">
        <f t="shared" si="4"/>
        <v>3.4960000000000005E-2</v>
      </c>
      <c r="O12">
        <f t="shared" si="5"/>
        <v>3.6110000000000003E-2</v>
      </c>
      <c r="P12">
        <f t="shared" si="8"/>
        <v>0.13455500000000001</v>
      </c>
      <c r="Q12">
        <f t="shared" si="9"/>
        <v>8.4815000000000002E-2</v>
      </c>
      <c r="R12">
        <f t="shared" si="10"/>
        <v>2.6253500000000001</v>
      </c>
      <c r="S12">
        <f t="shared" si="11"/>
        <v>0.31043999999999999</v>
      </c>
      <c r="T12">
        <f t="shared" si="12"/>
        <v>2.0288200000000001</v>
      </c>
      <c r="U12">
        <f t="shared" si="13"/>
        <v>5.18398</v>
      </c>
    </row>
    <row r="13" spans="1:21" x14ac:dyDescent="0.2">
      <c r="A13" s="3">
        <v>2011</v>
      </c>
      <c r="B13">
        <v>1716.58</v>
      </c>
      <c r="C13">
        <v>619.32000000000005</v>
      </c>
      <c r="D13">
        <v>121.88</v>
      </c>
      <c r="E13">
        <v>2587.86</v>
      </c>
      <c r="F13">
        <v>28.77</v>
      </c>
      <c r="G13">
        <v>34.369999999999997</v>
      </c>
      <c r="H13">
        <v>38.340000000000003</v>
      </c>
      <c r="I13">
        <f t="shared" si="6"/>
        <v>1.71658</v>
      </c>
      <c r="J13">
        <f t="shared" si="7"/>
        <v>0.61932000000000009</v>
      </c>
      <c r="K13">
        <f t="shared" si="1"/>
        <v>0.12188</v>
      </c>
      <c r="L13">
        <f t="shared" si="2"/>
        <v>2.58786</v>
      </c>
      <c r="M13">
        <f t="shared" si="3"/>
        <v>2.877E-2</v>
      </c>
      <c r="N13">
        <f t="shared" si="4"/>
        <v>3.4369999999999998E-2</v>
      </c>
      <c r="O13">
        <f t="shared" si="5"/>
        <v>3.8340000000000006E-2</v>
      </c>
      <c r="P13">
        <f t="shared" si="8"/>
        <v>0.136265</v>
      </c>
      <c r="Q13">
        <f t="shared" si="9"/>
        <v>8.7094999999999992E-2</v>
      </c>
      <c r="R13">
        <f t="shared" si="10"/>
        <v>2.58786</v>
      </c>
      <c r="S13">
        <f t="shared" si="11"/>
        <v>0.30966000000000005</v>
      </c>
      <c r="T13">
        <f t="shared" si="12"/>
        <v>2.02624</v>
      </c>
      <c r="U13">
        <f t="shared" si="13"/>
        <v>5.1471200000000001</v>
      </c>
    </row>
    <row r="14" spans="1:21" x14ac:dyDescent="0.2">
      <c r="A14" s="3">
        <v>2012</v>
      </c>
      <c r="B14">
        <v>1714.77</v>
      </c>
      <c r="C14">
        <v>617.75</v>
      </c>
      <c r="D14">
        <v>122.95</v>
      </c>
      <c r="E14">
        <v>2550.37</v>
      </c>
      <c r="F14">
        <v>30.05</v>
      </c>
      <c r="G14">
        <v>33.770000000000003</v>
      </c>
      <c r="H14">
        <v>40.57</v>
      </c>
      <c r="I14">
        <f t="shared" ref="I14:I24" si="14">B14*0.001</f>
        <v>1.7147700000000001</v>
      </c>
      <c r="J14">
        <f t="shared" ref="J14:J24" si="15">C14*0.001</f>
        <v>0.61775000000000002</v>
      </c>
      <c r="K14">
        <f t="shared" ref="K14:K24" si="16">D14*0.001</f>
        <v>0.12295</v>
      </c>
      <c r="L14">
        <f t="shared" ref="L14:L24" si="17">E14*0.001</f>
        <v>2.55037</v>
      </c>
      <c r="M14">
        <f t="shared" ref="M14:M24" si="18">F14*0.001</f>
        <v>3.005E-2</v>
      </c>
      <c r="N14">
        <f t="shared" ref="N14:N24" si="19">G14*0.001</f>
        <v>3.3770000000000001E-2</v>
      </c>
      <c r="O14">
        <f t="shared" ref="O14:O24" si="20">H14*0.001</f>
        <v>4.0570000000000002E-2</v>
      </c>
      <c r="P14">
        <f t="shared" si="8"/>
        <v>0.13797500000000001</v>
      </c>
      <c r="Q14">
        <f t="shared" si="9"/>
        <v>8.9365E-2</v>
      </c>
      <c r="R14">
        <f t="shared" si="10"/>
        <v>2.55037</v>
      </c>
      <c r="S14">
        <f t="shared" si="11"/>
        <v>0.30887500000000001</v>
      </c>
      <c r="T14">
        <f t="shared" si="12"/>
        <v>2.0236450000000001</v>
      </c>
      <c r="U14">
        <f t="shared" si="13"/>
        <v>5.1102299999999996</v>
      </c>
    </row>
    <row r="15" spans="1:21" x14ac:dyDescent="0.2">
      <c r="A15" s="3">
        <v>2013</v>
      </c>
      <c r="B15">
        <v>1712.97</v>
      </c>
      <c r="C15">
        <v>616.17999999999995</v>
      </c>
      <c r="D15">
        <v>124.02</v>
      </c>
      <c r="E15">
        <v>2512.88</v>
      </c>
      <c r="F15">
        <v>31.33</v>
      </c>
      <c r="G15">
        <v>33.18</v>
      </c>
      <c r="H15">
        <v>42.8</v>
      </c>
      <c r="I15">
        <f t="shared" si="14"/>
        <v>1.7129700000000001</v>
      </c>
      <c r="J15">
        <f t="shared" si="15"/>
        <v>0.61617999999999995</v>
      </c>
      <c r="K15">
        <f t="shared" si="16"/>
        <v>0.12402000000000001</v>
      </c>
      <c r="L15">
        <f t="shared" si="17"/>
        <v>2.51288</v>
      </c>
      <c r="M15">
        <f t="shared" si="18"/>
        <v>3.1329999999999997E-2</v>
      </c>
      <c r="N15">
        <f t="shared" si="19"/>
        <v>3.3180000000000001E-2</v>
      </c>
      <c r="O15">
        <f t="shared" si="20"/>
        <v>4.2799999999999998E-2</v>
      </c>
      <c r="P15">
        <f t="shared" si="8"/>
        <v>0.139685</v>
      </c>
      <c r="Q15">
        <f t="shared" si="9"/>
        <v>9.164499999999999E-2</v>
      </c>
      <c r="R15">
        <f t="shared" si="10"/>
        <v>2.51288</v>
      </c>
      <c r="S15">
        <f t="shared" si="11"/>
        <v>0.30808999999999997</v>
      </c>
      <c r="T15">
        <f t="shared" si="12"/>
        <v>2.0210599999999999</v>
      </c>
      <c r="U15">
        <f t="shared" si="13"/>
        <v>5.0733599999999992</v>
      </c>
    </row>
    <row r="16" spans="1:21" x14ac:dyDescent="0.2">
      <c r="A16" s="3">
        <v>2014</v>
      </c>
      <c r="B16">
        <v>1711.17</v>
      </c>
      <c r="C16">
        <v>614.62</v>
      </c>
      <c r="D16">
        <v>125.09</v>
      </c>
      <c r="E16">
        <v>2475.39</v>
      </c>
      <c r="F16">
        <v>32.61</v>
      </c>
      <c r="G16">
        <v>32.58</v>
      </c>
      <c r="H16">
        <v>45.03</v>
      </c>
      <c r="I16">
        <f t="shared" si="14"/>
        <v>1.7111700000000001</v>
      </c>
      <c r="J16">
        <f t="shared" si="15"/>
        <v>0.61462000000000006</v>
      </c>
      <c r="K16">
        <f t="shared" si="16"/>
        <v>0.12509000000000001</v>
      </c>
      <c r="L16">
        <f t="shared" si="17"/>
        <v>2.47539</v>
      </c>
      <c r="M16">
        <f t="shared" si="18"/>
        <v>3.261E-2</v>
      </c>
      <c r="N16">
        <f t="shared" si="19"/>
        <v>3.2579999999999998E-2</v>
      </c>
      <c r="O16">
        <f t="shared" si="20"/>
        <v>4.5030000000000001E-2</v>
      </c>
      <c r="P16">
        <f t="shared" si="8"/>
        <v>0.14139499999999999</v>
      </c>
      <c r="Q16">
        <f>O16+N16+(M16/2)</f>
        <v>9.3914999999999998E-2</v>
      </c>
      <c r="R16">
        <f t="shared" si="10"/>
        <v>2.47539</v>
      </c>
      <c r="S16">
        <f t="shared" si="11"/>
        <v>0.30731000000000003</v>
      </c>
      <c r="T16">
        <f t="shared" si="12"/>
        <v>2.0184800000000003</v>
      </c>
      <c r="U16">
        <f t="shared" si="13"/>
        <v>5.0364900000000006</v>
      </c>
    </row>
    <row r="17" spans="1:21" x14ac:dyDescent="0.2">
      <c r="A17" s="3">
        <v>2015</v>
      </c>
      <c r="B17">
        <v>1708.88</v>
      </c>
      <c r="C17">
        <v>617.07000000000005</v>
      </c>
      <c r="D17">
        <v>125.18</v>
      </c>
      <c r="E17">
        <v>2334.59</v>
      </c>
      <c r="F17">
        <v>34.9</v>
      </c>
      <c r="G17">
        <v>33.020000000000003</v>
      </c>
      <c r="H17">
        <v>51.24</v>
      </c>
      <c r="I17">
        <f t="shared" si="14"/>
        <v>1.7088800000000002</v>
      </c>
      <c r="J17">
        <f t="shared" si="15"/>
        <v>0.61707000000000001</v>
      </c>
      <c r="K17">
        <f t="shared" si="16"/>
        <v>0.12518000000000001</v>
      </c>
      <c r="L17">
        <f t="shared" si="17"/>
        <v>2.3345900000000004</v>
      </c>
      <c r="M17">
        <f t="shared" si="18"/>
        <v>3.49E-2</v>
      </c>
      <c r="N17">
        <f t="shared" si="19"/>
        <v>3.3020000000000001E-2</v>
      </c>
      <c r="O17">
        <f t="shared" si="20"/>
        <v>5.1240000000000001E-2</v>
      </c>
      <c r="P17">
        <f t="shared" si="8"/>
        <v>0.14263000000000001</v>
      </c>
      <c r="Q17">
        <f t="shared" si="9"/>
        <v>0.10170999999999999</v>
      </c>
      <c r="R17">
        <f t="shared" si="10"/>
        <v>2.3345900000000004</v>
      </c>
      <c r="S17">
        <f t="shared" si="11"/>
        <v>0.308535</v>
      </c>
      <c r="T17">
        <f t="shared" si="12"/>
        <v>2.0174150000000002</v>
      </c>
      <c r="U17">
        <f t="shared" si="13"/>
        <v>4.9048800000000004</v>
      </c>
    </row>
    <row r="18" spans="1:21" x14ac:dyDescent="0.2">
      <c r="A18" s="3">
        <v>2016</v>
      </c>
      <c r="B18">
        <v>1687.01</v>
      </c>
      <c r="C18">
        <v>601.30999999999995</v>
      </c>
      <c r="D18">
        <v>90.22</v>
      </c>
      <c r="E18">
        <v>2509.4699999999998</v>
      </c>
      <c r="F18">
        <v>35.49</v>
      </c>
      <c r="G18">
        <v>29.15</v>
      </c>
      <c r="H18">
        <v>49.43</v>
      </c>
      <c r="I18">
        <f t="shared" si="14"/>
        <v>1.6870100000000001</v>
      </c>
      <c r="J18">
        <f t="shared" si="15"/>
        <v>0.60131000000000001</v>
      </c>
      <c r="K18">
        <f t="shared" si="16"/>
        <v>9.0219999999999995E-2</v>
      </c>
      <c r="L18">
        <f t="shared" si="17"/>
        <v>2.5094699999999999</v>
      </c>
      <c r="M18">
        <f t="shared" si="18"/>
        <v>3.5490000000000001E-2</v>
      </c>
      <c r="N18">
        <f t="shared" si="19"/>
        <v>2.9149999999999999E-2</v>
      </c>
      <c r="O18">
        <f t="shared" si="20"/>
        <v>4.9430000000000002E-2</v>
      </c>
      <c r="P18">
        <f t="shared" si="8"/>
        <v>0.10796499999999999</v>
      </c>
      <c r="Q18">
        <f t="shared" si="9"/>
        <v>9.6324999999999994E-2</v>
      </c>
      <c r="R18">
        <f t="shared" si="10"/>
        <v>2.5094699999999999</v>
      </c>
      <c r="S18">
        <f t="shared" si="11"/>
        <v>0.30065500000000001</v>
      </c>
      <c r="T18">
        <f t="shared" si="12"/>
        <v>1.987665</v>
      </c>
      <c r="U18">
        <f t="shared" si="13"/>
        <v>5.0020799999999994</v>
      </c>
    </row>
    <row r="19" spans="1:21" x14ac:dyDescent="0.2">
      <c r="A19" s="3">
        <v>2017</v>
      </c>
      <c r="B19">
        <v>1685.61</v>
      </c>
      <c r="C19">
        <v>612.57000000000005</v>
      </c>
      <c r="D19">
        <v>105.25</v>
      </c>
      <c r="E19">
        <v>2881.69</v>
      </c>
      <c r="F19">
        <v>37.82</v>
      </c>
      <c r="G19">
        <v>28.52</v>
      </c>
      <c r="H19">
        <v>51.34</v>
      </c>
      <c r="I19">
        <f t="shared" si="14"/>
        <v>1.6856099999999998</v>
      </c>
      <c r="J19">
        <f t="shared" si="15"/>
        <v>0.61257000000000006</v>
      </c>
      <c r="K19">
        <f t="shared" si="16"/>
        <v>0.10525</v>
      </c>
      <c r="L19">
        <f t="shared" si="17"/>
        <v>2.8816900000000003</v>
      </c>
      <c r="M19">
        <f t="shared" si="18"/>
        <v>3.7819999999999999E-2</v>
      </c>
      <c r="N19">
        <f t="shared" si="19"/>
        <v>2.852E-2</v>
      </c>
      <c r="O19">
        <f t="shared" si="20"/>
        <v>5.1340000000000004E-2</v>
      </c>
      <c r="P19">
        <f t="shared" si="8"/>
        <v>0.12415999999999999</v>
      </c>
      <c r="Q19">
        <f t="shared" si="9"/>
        <v>9.8769999999999997E-2</v>
      </c>
      <c r="R19">
        <f t="shared" si="10"/>
        <v>2.8816900000000003</v>
      </c>
      <c r="S19">
        <f t="shared" si="11"/>
        <v>0.30628500000000003</v>
      </c>
      <c r="T19">
        <f t="shared" si="12"/>
        <v>1.991895</v>
      </c>
      <c r="U19">
        <f t="shared" si="13"/>
        <v>5.4028</v>
      </c>
    </row>
    <row r="20" spans="1:21" x14ac:dyDescent="0.2">
      <c r="A20" s="3">
        <v>2018</v>
      </c>
      <c r="B20">
        <v>1641.91</v>
      </c>
      <c r="C20">
        <v>624.53</v>
      </c>
      <c r="D20">
        <v>91.1</v>
      </c>
      <c r="E20">
        <v>2743.31</v>
      </c>
      <c r="F20">
        <v>41.78</v>
      </c>
      <c r="G20">
        <v>24.61</v>
      </c>
      <c r="H20">
        <v>51.14</v>
      </c>
      <c r="I20">
        <f t="shared" si="14"/>
        <v>1.6419100000000002</v>
      </c>
      <c r="J20">
        <f t="shared" si="15"/>
        <v>0.62453000000000003</v>
      </c>
      <c r="K20">
        <f t="shared" si="16"/>
        <v>9.11E-2</v>
      </c>
      <c r="L20">
        <f t="shared" si="17"/>
        <v>2.7433100000000001</v>
      </c>
      <c r="M20">
        <f t="shared" si="18"/>
        <v>4.1780000000000005E-2</v>
      </c>
      <c r="N20">
        <f t="shared" si="19"/>
        <v>2.461E-2</v>
      </c>
      <c r="O20">
        <f t="shared" si="20"/>
        <v>5.1140000000000005E-2</v>
      </c>
      <c r="P20">
        <f t="shared" si="8"/>
        <v>0.11199000000000001</v>
      </c>
      <c r="Q20">
        <f t="shared" si="9"/>
        <v>9.6640000000000018E-2</v>
      </c>
      <c r="R20">
        <f t="shared" si="10"/>
        <v>2.7433100000000001</v>
      </c>
      <c r="S20">
        <f t="shared" si="11"/>
        <v>0.31226500000000001</v>
      </c>
      <c r="T20">
        <f t="shared" si="12"/>
        <v>1.9541750000000002</v>
      </c>
      <c r="U20">
        <f t="shared" si="13"/>
        <v>5.2183799999999998</v>
      </c>
    </row>
    <row r="21" spans="1:21" x14ac:dyDescent="0.2">
      <c r="A21" s="3">
        <v>2019</v>
      </c>
      <c r="B21">
        <v>1593.22</v>
      </c>
      <c r="C21">
        <v>629.94000000000005</v>
      </c>
      <c r="D21">
        <v>119.25</v>
      </c>
      <c r="E21">
        <v>3341.34</v>
      </c>
      <c r="F21">
        <v>41.36</v>
      </c>
      <c r="G21">
        <v>24.51</v>
      </c>
      <c r="H21">
        <v>41.39</v>
      </c>
      <c r="I21">
        <f t="shared" si="14"/>
        <v>1.5932200000000001</v>
      </c>
      <c r="J21">
        <f t="shared" si="15"/>
        <v>0.62994000000000006</v>
      </c>
      <c r="K21">
        <f t="shared" si="16"/>
        <v>0.11925000000000001</v>
      </c>
      <c r="L21">
        <f t="shared" si="17"/>
        <v>3.3413400000000002</v>
      </c>
      <c r="M21">
        <f t="shared" si="18"/>
        <v>4.1360000000000001E-2</v>
      </c>
      <c r="N21">
        <f t="shared" si="19"/>
        <v>2.4510000000000001E-2</v>
      </c>
      <c r="O21">
        <f t="shared" si="20"/>
        <v>4.1390000000000003E-2</v>
      </c>
      <c r="P21">
        <f t="shared" si="8"/>
        <v>0.13993</v>
      </c>
      <c r="Q21">
        <f t="shared" si="9"/>
        <v>8.6580000000000004E-2</v>
      </c>
      <c r="R21">
        <f t="shared" si="10"/>
        <v>3.3413400000000002</v>
      </c>
      <c r="S21">
        <f t="shared" si="11"/>
        <v>0.31497000000000003</v>
      </c>
      <c r="T21">
        <f t="shared" si="12"/>
        <v>1.9081900000000001</v>
      </c>
      <c r="U21">
        <f t="shared" si="13"/>
        <v>5.79101</v>
      </c>
    </row>
    <row r="22" spans="1:21" x14ac:dyDescent="0.2">
      <c r="A22" s="3">
        <v>2020</v>
      </c>
      <c r="B22">
        <v>1652.47</v>
      </c>
      <c r="C22">
        <v>609.19000000000005</v>
      </c>
      <c r="D22">
        <v>106.29</v>
      </c>
      <c r="E22">
        <v>3067.88</v>
      </c>
      <c r="F22">
        <v>41.48</v>
      </c>
      <c r="G22">
        <v>25.9</v>
      </c>
      <c r="H22">
        <v>41.5</v>
      </c>
      <c r="I22">
        <f t="shared" si="14"/>
        <v>1.6524700000000001</v>
      </c>
      <c r="J22">
        <f t="shared" si="15"/>
        <v>0.60919000000000012</v>
      </c>
      <c r="K22">
        <f t="shared" si="16"/>
        <v>0.10629000000000001</v>
      </c>
      <c r="L22">
        <f t="shared" si="17"/>
        <v>3.0678800000000002</v>
      </c>
      <c r="M22">
        <f t="shared" si="18"/>
        <v>4.1479999999999996E-2</v>
      </c>
      <c r="N22">
        <f t="shared" si="19"/>
        <v>2.5899999999999999E-2</v>
      </c>
      <c r="O22">
        <f t="shared" si="20"/>
        <v>4.1500000000000002E-2</v>
      </c>
      <c r="P22">
        <f t="shared" si="8"/>
        <v>0.12703</v>
      </c>
      <c r="Q22">
        <f t="shared" si="9"/>
        <v>8.8139999999999996E-2</v>
      </c>
      <c r="R22">
        <f t="shared" si="10"/>
        <v>3.0678800000000002</v>
      </c>
      <c r="S22">
        <f t="shared" si="11"/>
        <v>0.30459500000000006</v>
      </c>
      <c r="T22">
        <f t="shared" si="12"/>
        <v>1.9570650000000001</v>
      </c>
      <c r="U22">
        <f t="shared" si="13"/>
        <v>5.5447100000000002</v>
      </c>
    </row>
    <row r="23" spans="1:21" x14ac:dyDescent="0.2">
      <c r="A23" s="3">
        <v>2021</v>
      </c>
      <c r="B23">
        <v>1704.26</v>
      </c>
      <c r="C23">
        <v>616.86</v>
      </c>
      <c r="D23">
        <v>121.58</v>
      </c>
      <c r="E23">
        <v>3508.93</v>
      </c>
      <c r="F23">
        <v>41.63</v>
      </c>
      <c r="G23">
        <v>24.64</v>
      </c>
      <c r="H23">
        <v>49.63</v>
      </c>
      <c r="I23">
        <f t="shared" si="14"/>
        <v>1.7042600000000001</v>
      </c>
      <c r="J23">
        <f t="shared" si="15"/>
        <v>0.61686000000000007</v>
      </c>
      <c r="K23">
        <f t="shared" si="16"/>
        <v>0.12158000000000001</v>
      </c>
      <c r="L23">
        <f t="shared" si="17"/>
        <v>3.5089299999999999</v>
      </c>
      <c r="M23">
        <f t="shared" si="18"/>
        <v>4.163E-2</v>
      </c>
      <c r="N23">
        <f t="shared" si="19"/>
        <v>2.4640000000000002E-2</v>
      </c>
      <c r="O23">
        <f t="shared" si="20"/>
        <v>4.9630000000000001E-2</v>
      </c>
      <c r="P23">
        <f t="shared" si="8"/>
        <v>0.14239499999999999</v>
      </c>
      <c r="Q23">
        <f t="shared" si="9"/>
        <v>9.5085000000000003E-2</v>
      </c>
      <c r="R23">
        <f t="shared" si="10"/>
        <v>3.5089299999999999</v>
      </c>
      <c r="S23">
        <f t="shared" si="11"/>
        <v>0.30843000000000004</v>
      </c>
      <c r="T23">
        <f t="shared" si="12"/>
        <v>2.0126900000000001</v>
      </c>
      <c r="U23">
        <f t="shared" si="13"/>
        <v>6.0675300000000005</v>
      </c>
    </row>
    <row r="24" spans="1:21" x14ac:dyDescent="0.2">
      <c r="A24" s="3">
        <v>2022</v>
      </c>
      <c r="B24">
        <v>1669.9</v>
      </c>
      <c r="C24">
        <v>613.80999999999995</v>
      </c>
      <c r="D24">
        <v>106.69</v>
      </c>
      <c r="E24">
        <v>3402.72</v>
      </c>
      <c r="F24">
        <v>36.92</v>
      </c>
      <c r="G24">
        <v>24.4</v>
      </c>
      <c r="H24">
        <v>51.37</v>
      </c>
      <c r="I24">
        <f t="shared" si="14"/>
        <v>1.6699000000000002</v>
      </c>
      <c r="J24">
        <f t="shared" si="15"/>
        <v>0.61380999999999997</v>
      </c>
      <c r="K24">
        <f t="shared" si="16"/>
        <v>0.10668999999999999</v>
      </c>
      <c r="L24">
        <f t="shared" si="17"/>
        <v>3.40272</v>
      </c>
      <c r="M24">
        <f t="shared" si="18"/>
        <v>3.6920000000000001E-2</v>
      </c>
      <c r="N24">
        <f t="shared" si="19"/>
        <v>2.4399999999999998E-2</v>
      </c>
      <c r="O24">
        <f t="shared" si="20"/>
        <v>5.1369999999999999E-2</v>
      </c>
      <c r="P24">
        <f t="shared" si="8"/>
        <v>0.12514999999999998</v>
      </c>
      <c r="Q24">
        <f t="shared" si="9"/>
        <v>9.4230000000000008E-2</v>
      </c>
      <c r="R24">
        <f t="shared" si="10"/>
        <v>3.40272</v>
      </c>
      <c r="S24">
        <f t="shared" si="11"/>
        <v>0.30690499999999998</v>
      </c>
      <c r="T24">
        <f t="shared" si="12"/>
        <v>1.9768050000000001</v>
      </c>
      <c r="U24">
        <f t="shared" si="13"/>
        <v>5.9058100000000007</v>
      </c>
    </row>
    <row r="33" spans="6:16" x14ac:dyDescent="0.2">
      <c r="F33">
        <v>3.6020000000000003E-2</v>
      </c>
      <c r="I33">
        <v>1.6460000000000002E-2</v>
      </c>
      <c r="K33">
        <v>1.97834</v>
      </c>
      <c r="M33">
        <v>4.1340000000000002E-2</v>
      </c>
    </row>
    <row r="34" spans="6:16" x14ac:dyDescent="0.2">
      <c r="F34">
        <v>3.798E-2</v>
      </c>
      <c r="I34">
        <v>1.685E-2</v>
      </c>
      <c r="K34">
        <v>2.0236300000000003</v>
      </c>
      <c r="M34">
        <v>4.2010000000000006E-2</v>
      </c>
      <c r="P34">
        <v>2.67964</v>
      </c>
    </row>
    <row r="35" spans="6:16" x14ac:dyDescent="0.2">
      <c r="F35">
        <v>3.9939999999999996E-2</v>
      </c>
      <c r="I35">
        <v>1.7239999999999998E-2</v>
      </c>
      <c r="K35">
        <v>2.0689200000000003</v>
      </c>
      <c r="M35">
        <v>4.267E-2</v>
      </c>
      <c r="P35">
        <v>2.6008750000000003</v>
      </c>
    </row>
    <row r="36" spans="6:16" x14ac:dyDescent="0.2">
      <c r="F36">
        <v>4.19E-2</v>
      </c>
      <c r="I36">
        <v>1.763E-2</v>
      </c>
      <c r="K36">
        <v>2.1142099999999999</v>
      </c>
      <c r="M36">
        <v>4.3340000000000004E-2</v>
      </c>
      <c r="P36">
        <v>2.5221100000000001</v>
      </c>
    </row>
    <row r="37" spans="6:16" x14ac:dyDescent="0.2">
      <c r="F37">
        <v>4.3860000000000003E-2</v>
      </c>
      <c r="I37">
        <v>1.8020000000000001E-2</v>
      </c>
      <c r="K37">
        <v>2.1595</v>
      </c>
      <c r="M37">
        <v>4.3999999999999997E-2</v>
      </c>
      <c r="P37">
        <v>2.4433450000000003</v>
      </c>
    </row>
    <row r="38" spans="6:16" x14ac:dyDescent="0.2">
      <c r="F38">
        <v>4.5400000000000003E-2</v>
      </c>
      <c r="I38">
        <v>1.7930000000000001E-2</v>
      </c>
      <c r="K38">
        <v>2.1028200000000004</v>
      </c>
      <c r="M38">
        <v>4.7690000000000003E-2</v>
      </c>
      <c r="P38">
        <v>2.3645800000000001</v>
      </c>
    </row>
    <row r="39" spans="6:16" x14ac:dyDescent="0.2">
      <c r="F39">
        <v>5.8360000000000002E-2</v>
      </c>
      <c r="I39">
        <v>1.9460000000000002E-2</v>
      </c>
      <c r="K39">
        <v>2.2279299999999997</v>
      </c>
      <c r="M39">
        <v>5.0750000000000003E-2</v>
      </c>
      <c r="P39">
        <v>2.4078550000000001</v>
      </c>
    </row>
    <row r="40" spans="6:16" x14ac:dyDescent="0.2">
      <c r="F40">
        <v>7.1319999999999995E-2</v>
      </c>
      <c r="I40">
        <v>2.0989999999999998E-2</v>
      </c>
      <c r="K40">
        <v>2.35304</v>
      </c>
      <c r="M40">
        <v>5.3800000000000001E-2</v>
      </c>
      <c r="P40">
        <v>2.3226849999999999</v>
      </c>
    </row>
    <row r="41" spans="6:16" x14ac:dyDescent="0.2">
      <c r="F41">
        <v>8.4280000000000008E-2</v>
      </c>
      <c r="I41">
        <v>2.2519999999999998E-2</v>
      </c>
      <c r="K41">
        <v>2.4781500000000003</v>
      </c>
      <c r="M41">
        <v>5.6850000000000005E-2</v>
      </c>
      <c r="P41">
        <v>2.2375149999999997</v>
      </c>
    </row>
    <row r="42" spans="6:16" x14ac:dyDescent="0.2">
      <c r="F42">
        <v>9.7239999999999993E-2</v>
      </c>
      <c r="I42">
        <v>2.4050000000000002E-2</v>
      </c>
      <c r="K42">
        <v>2.6032600000000001</v>
      </c>
      <c r="M42">
        <v>5.9909999999999991E-2</v>
      </c>
      <c r="P42">
        <v>2.1523450000000004</v>
      </c>
    </row>
    <row r="43" spans="6:16" x14ac:dyDescent="0.2">
      <c r="F43">
        <v>0.12081</v>
      </c>
      <c r="I43">
        <v>2.7490000000000001E-2</v>
      </c>
      <c r="K43">
        <v>2.6253500000000001</v>
      </c>
      <c r="M43">
        <v>7.1070000000000008E-2</v>
      </c>
      <c r="P43">
        <v>2.0672250000000001</v>
      </c>
    </row>
    <row r="44" spans="6:16" x14ac:dyDescent="0.2">
      <c r="F44">
        <v>0.12188</v>
      </c>
      <c r="I44">
        <v>2.877E-2</v>
      </c>
      <c r="K44">
        <v>2.58786</v>
      </c>
      <c r="M44">
        <v>7.2709999999999997E-2</v>
      </c>
      <c r="P44">
        <v>2.0288200000000001</v>
      </c>
    </row>
    <row r="45" spans="6:16" x14ac:dyDescent="0.2">
      <c r="F45">
        <v>0.12295</v>
      </c>
      <c r="I45">
        <v>3.005E-2</v>
      </c>
      <c r="K45">
        <v>2.55037</v>
      </c>
      <c r="M45">
        <v>7.4340000000000003E-2</v>
      </c>
      <c r="P45">
        <v>2.02624</v>
      </c>
    </row>
    <row r="46" spans="6:16" x14ac:dyDescent="0.2">
      <c r="F46">
        <v>0.12402000000000001</v>
      </c>
      <c r="I46">
        <v>3.1329999999999997E-2</v>
      </c>
      <c r="K46">
        <v>2.51288</v>
      </c>
      <c r="M46">
        <v>7.5979999999999992E-2</v>
      </c>
      <c r="P46">
        <v>2.0236450000000001</v>
      </c>
    </row>
    <row r="47" spans="6:16" x14ac:dyDescent="0.2">
      <c r="F47">
        <v>0.12509000000000001</v>
      </c>
      <c r="I47">
        <v>3.261E-2</v>
      </c>
      <c r="K47">
        <v>2.47539</v>
      </c>
      <c r="M47">
        <v>7.7609999999999998E-2</v>
      </c>
      <c r="P47">
        <v>2.0210599999999999</v>
      </c>
    </row>
    <row r="48" spans="6:16" x14ac:dyDescent="0.2">
      <c r="F48">
        <v>0.12518000000000001</v>
      </c>
      <c r="I48">
        <v>3.49E-2</v>
      </c>
      <c r="K48">
        <v>2.3345900000000004</v>
      </c>
      <c r="M48">
        <v>8.4260000000000002E-2</v>
      </c>
      <c r="P48">
        <v>2.0184800000000003</v>
      </c>
    </row>
    <row r="49" spans="6:16" x14ac:dyDescent="0.2">
      <c r="F49">
        <v>9.0219999999999995E-2</v>
      </c>
      <c r="I49">
        <v>3.5490000000000001E-2</v>
      </c>
      <c r="K49">
        <v>2.5094699999999999</v>
      </c>
      <c r="M49">
        <v>7.8579999999999997E-2</v>
      </c>
      <c r="P49">
        <v>2.0174150000000002</v>
      </c>
    </row>
    <row r="50" spans="6:16" x14ac:dyDescent="0.2">
      <c r="F50">
        <v>0.10525</v>
      </c>
      <c r="I50">
        <v>3.7819999999999999E-2</v>
      </c>
      <c r="K50">
        <v>2.8816900000000003</v>
      </c>
      <c r="M50">
        <v>7.986E-2</v>
      </c>
      <c r="P50">
        <v>1.987665</v>
      </c>
    </row>
    <row r="51" spans="6:16" x14ac:dyDescent="0.2">
      <c r="F51">
        <v>9.11E-2</v>
      </c>
      <c r="I51">
        <v>4.1780000000000005E-2</v>
      </c>
      <c r="K51">
        <v>2.7433100000000001</v>
      </c>
      <c r="M51">
        <v>7.5750000000000012E-2</v>
      </c>
      <c r="P51">
        <v>1.991895</v>
      </c>
    </row>
    <row r="52" spans="6:16" x14ac:dyDescent="0.2">
      <c r="F52">
        <v>0.11925000000000001</v>
      </c>
      <c r="I52">
        <v>4.1360000000000001E-2</v>
      </c>
      <c r="K52">
        <v>3.3413400000000002</v>
      </c>
      <c r="M52">
        <v>6.59E-2</v>
      </c>
      <c r="P52">
        <v>1.9541750000000002</v>
      </c>
    </row>
    <row r="53" spans="6:16" x14ac:dyDescent="0.2">
      <c r="F53">
        <v>0.10629000000000001</v>
      </c>
      <c r="I53">
        <v>4.1479999999999996E-2</v>
      </c>
      <c r="K53">
        <v>3.0678800000000002</v>
      </c>
      <c r="M53">
        <v>6.7400000000000002E-2</v>
      </c>
      <c r="P53">
        <v>1.9081900000000001</v>
      </c>
    </row>
    <row r="54" spans="6:16" x14ac:dyDescent="0.2">
      <c r="F54">
        <v>0.12158000000000001</v>
      </c>
      <c r="I54">
        <v>4.163E-2</v>
      </c>
      <c r="K54">
        <v>3.5089299999999999</v>
      </c>
      <c r="M54">
        <v>7.4270000000000003E-2</v>
      </c>
      <c r="P54">
        <v>1.9570650000000001</v>
      </c>
    </row>
    <row r="55" spans="6:16" x14ac:dyDescent="0.2">
      <c r="F55">
        <v>0.10668999999999999</v>
      </c>
      <c r="I55">
        <v>3.6920000000000001E-2</v>
      </c>
      <c r="K55">
        <v>3.40272</v>
      </c>
      <c r="M55">
        <v>7.5770000000000004E-2</v>
      </c>
      <c r="P55">
        <v>2.0126900000000001</v>
      </c>
    </row>
    <row r="56" spans="6:16" x14ac:dyDescent="0.2">
      <c r="P56">
        <v>1.9768050000000001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FCD9-D9FA-0942-917E-FE38F71249B7}">
  <dimension ref="A1:P26"/>
  <sheetViews>
    <sheetView zoomScale="188" zoomScaleNormal="188" workbookViewId="0">
      <selection activeCell="P2" sqref="P2:P24"/>
    </sheetView>
  </sheetViews>
  <sheetFormatPr baseColWidth="10" defaultRowHeight="16" x14ac:dyDescent="0.2"/>
  <cols>
    <col min="2" max="2" width="7.6640625" bestFit="1" customWidth="1"/>
    <col min="3" max="3" width="7.83203125" bestFit="1" customWidth="1"/>
    <col min="4" max="4" width="11.5" bestFit="1" customWidth="1"/>
    <col min="5" max="5" width="8" bestFit="1" customWidth="1"/>
    <col min="6" max="6" width="7.83203125" bestFit="1" customWidth="1"/>
    <col min="7" max="7" width="8" bestFit="1" customWidth="1"/>
    <col min="8" max="8" width="16.1640625" customWidth="1"/>
    <col min="9" max="9" width="13.5" bestFit="1" customWidth="1"/>
  </cols>
  <sheetData>
    <row r="1" spans="1:16" x14ac:dyDescent="0.2">
      <c r="A1" s="3" t="s">
        <v>69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80</v>
      </c>
      <c r="I1" t="s">
        <v>79</v>
      </c>
      <c r="J1" s="1" t="s">
        <v>70</v>
      </c>
      <c r="K1" s="1" t="s">
        <v>71</v>
      </c>
      <c r="L1" s="1" t="s">
        <v>72</v>
      </c>
      <c r="M1" s="1" t="s">
        <v>81</v>
      </c>
      <c r="N1" s="1" t="s">
        <v>82</v>
      </c>
    </row>
    <row r="2" spans="1:16" x14ac:dyDescent="0.2">
      <c r="A2" s="3">
        <v>2000</v>
      </c>
      <c r="B2">
        <v>2.7504400000000002</v>
      </c>
      <c r="C2">
        <v>0</v>
      </c>
      <c r="D2">
        <v>6.4599999999999998E-4</v>
      </c>
      <c r="E2">
        <v>1.2280800000000001</v>
      </c>
      <c r="F2">
        <v>0</v>
      </c>
      <c r="G2">
        <v>4.5079999999999999E-3</v>
      </c>
      <c r="H2">
        <v>5.6999999999999998E-4</v>
      </c>
      <c r="I2">
        <v>6.2579999999999997E-2</v>
      </c>
      <c r="J2" s="1">
        <f>E2</f>
        <v>1.2280800000000001</v>
      </c>
      <c r="K2" s="1">
        <f>H2</f>
        <v>5.6999999999999998E-4</v>
      </c>
      <c r="L2" s="1">
        <f>B2+C2+D2</f>
        <v>2.7510860000000004</v>
      </c>
      <c r="M2" s="1">
        <f>I2</f>
        <v>6.2579999999999997E-2</v>
      </c>
      <c r="N2" s="1">
        <f>F2+G2</f>
        <v>4.5079999999999999E-3</v>
      </c>
      <c r="P2">
        <v>4.5079999999999999E-3</v>
      </c>
    </row>
    <row r="3" spans="1:16" x14ac:dyDescent="0.2">
      <c r="A3" s="3">
        <v>2001</v>
      </c>
      <c r="B3">
        <v>2.7730399999999999</v>
      </c>
      <c r="C3">
        <v>0</v>
      </c>
      <c r="D3">
        <v>6.3000000000000003E-4</v>
      </c>
      <c r="E3">
        <v>1.14716</v>
      </c>
      <c r="F3">
        <v>0</v>
      </c>
      <c r="G3">
        <v>4.3509999999999998E-3</v>
      </c>
      <c r="H3">
        <v>5.5000000000000003E-4</v>
      </c>
      <c r="I3">
        <v>6.1030000000000001E-2</v>
      </c>
      <c r="J3" s="1">
        <f t="shared" ref="J3:J24" si="0">E3</f>
        <v>1.14716</v>
      </c>
      <c r="K3" s="1">
        <f t="shared" ref="K3:K24" si="1">H3</f>
        <v>5.5000000000000003E-4</v>
      </c>
      <c r="L3" s="1">
        <f t="shared" ref="L3:L24" si="2">B3+C3+D3</f>
        <v>2.7736700000000001</v>
      </c>
      <c r="M3" s="1">
        <f t="shared" ref="M3:M24" si="3">I3</f>
        <v>6.1030000000000001E-2</v>
      </c>
      <c r="N3" s="1">
        <f t="shared" ref="N3:N24" si="4">F3+G3</f>
        <v>4.3509999999999998E-3</v>
      </c>
      <c r="P3">
        <v>4.3509999999999998E-3</v>
      </c>
    </row>
    <row r="4" spans="1:16" x14ac:dyDescent="0.2">
      <c r="A4" s="3">
        <v>2002</v>
      </c>
      <c r="B4">
        <v>2.7957200000000002</v>
      </c>
      <c r="C4">
        <v>0</v>
      </c>
      <c r="D4" s="4">
        <v>6.1600000000000001E-4</v>
      </c>
      <c r="E4">
        <v>1.0662400000000001</v>
      </c>
      <c r="F4">
        <v>0</v>
      </c>
      <c r="G4">
        <v>4.2220000000000001E-3</v>
      </c>
      <c r="H4">
        <v>5.2999999999999998E-4</v>
      </c>
      <c r="I4">
        <v>5.9479999999999998E-2</v>
      </c>
      <c r="J4" s="1">
        <f t="shared" si="0"/>
        <v>1.0662400000000001</v>
      </c>
      <c r="K4" s="1">
        <f t="shared" si="1"/>
        <v>5.2999999999999998E-4</v>
      </c>
      <c r="L4" s="1">
        <f t="shared" si="2"/>
        <v>2.7963360000000002</v>
      </c>
      <c r="M4" s="1">
        <f t="shared" si="3"/>
        <v>5.9479999999999998E-2</v>
      </c>
      <c r="N4" s="1">
        <f t="shared" si="4"/>
        <v>4.2220000000000001E-3</v>
      </c>
      <c r="P4">
        <v>4.2220000000000001E-3</v>
      </c>
    </row>
    <row r="5" spans="1:16" x14ac:dyDescent="0.2">
      <c r="A5" s="3">
        <v>2003</v>
      </c>
      <c r="B5">
        <v>2.8186499999999999</v>
      </c>
      <c r="C5">
        <v>0</v>
      </c>
      <c r="D5" s="4">
        <v>6.0499999999999996E-4</v>
      </c>
      <c r="E5">
        <v>0.98784000000000005</v>
      </c>
      <c r="F5">
        <v>0</v>
      </c>
      <c r="G5">
        <v>4.0980000000000001E-3</v>
      </c>
      <c r="H5">
        <v>5.1999999999999995E-4</v>
      </c>
      <c r="I5">
        <v>5.7930000000000002E-2</v>
      </c>
      <c r="J5" s="1">
        <f t="shared" si="0"/>
        <v>0.98784000000000005</v>
      </c>
      <c r="K5" s="1">
        <f t="shared" si="1"/>
        <v>5.1999999999999995E-4</v>
      </c>
      <c r="L5" s="1">
        <f t="shared" si="2"/>
        <v>2.8192550000000001</v>
      </c>
      <c r="M5" s="1">
        <f t="shared" si="3"/>
        <v>5.7930000000000002E-2</v>
      </c>
      <c r="N5" s="1">
        <f t="shared" si="4"/>
        <v>4.0980000000000001E-3</v>
      </c>
      <c r="P5">
        <v>4.0980000000000001E-3</v>
      </c>
    </row>
    <row r="6" spans="1:16" x14ac:dyDescent="0.2">
      <c r="A6" s="3">
        <v>2004</v>
      </c>
      <c r="B6">
        <v>2.8414799999999998</v>
      </c>
      <c r="C6">
        <v>0</v>
      </c>
      <c r="D6" s="4">
        <v>5.9000000000000003E-4</v>
      </c>
      <c r="E6">
        <v>0.90920000000000001</v>
      </c>
      <c r="F6">
        <v>0</v>
      </c>
      <c r="G6">
        <v>3.96E-3</v>
      </c>
      <c r="H6">
        <v>5.1000000000000004E-4</v>
      </c>
      <c r="I6">
        <v>5.638E-2</v>
      </c>
      <c r="J6" s="1">
        <f t="shared" si="0"/>
        <v>0.90920000000000001</v>
      </c>
      <c r="K6" s="1">
        <f t="shared" si="1"/>
        <v>5.1000000000000004E-4</v>
      </c>
      <c r="L6" s="1">
        <f t="shared" si="2"/>
        <v>2.8420699999999997</v>
      </c>
      <c r="M6" s="1">
        <f t="shared" si="3"/>
        <v>5.638E-2</v>
      </c>
      <c r="N6" s="1">
        <f t="shared" si="4"/>
        <v>3.96E-3</v>
      </c>
      <c r="P6">
        <v>3.96E-3</v>
      </c>
    </row>
    <row r="7" spans="1:16" x14ac:dyDescent="0.2">
      <c r="A7" s="3">
        <v>2005</v>
      </c>
      <c r="B7">
        <v>2.87452</v>
      </c>
      <c r="C7">
        <v>0</v>
      </c>
      <c r="D7">
        <v>5.7499999999999999E-4</v>
      </c>
      <c r="E7">
        <v>0.82247999999999999</v>
      </c>
      <c r="F7">
        <v>0</v>
      </c>
      <c r="G7">
        <v>3.8430000000000001E-3</v>
      </c>
      <c r="H7">
        <v>4.8999999999999998E-4</v>
      </c>
      <c r="I7">
        <v>5.4829999999999997E-2</v>
      </c>
      <c r="J7" s="1">
        <f t="shared" si="0"/>
        <v>0.82247999999999999</v>
      </c>
      <c r="K7" s="1">
        <f t="shared" si="1"/>
        <v>4.8999999999999998E-4</v>
      </c>
      <c r="L7" s="1">
        <f t="shared" si="2"/>
        <v>2.875095</v>
      </c>
      <c r="M7" s="1">
        <f t="shared" si="3"/>
        <v>5.4829999999999997E-2</v>
      </c>
      <c r="N7" s="1">
        <f t="shared" si="4"/>
        <v>3.8430000000000001E-3</v>
      </c>
      <c r="P7">
        <v>3.8430000000000001E-3</v>
      </c>
    </row>
    <row r="8" spans="1:16" x14ac:dyDescent="0.2">
      <c r="A8" s="3">
        <v>2006</v>
      </c>
      <c r="B8">
        <v>2.8903799999999999</v>
      </c>
      <c r="C8">
        <v>0</v>
      </c>
      <c r="D8">
        <v>4.9100000000000001E-4</v>
      </c>
      <c r="E8">
        <v>0.78427999999999998</v>
      </c>
      <c r="F8">
        <v>0</v>
      </c>
      <c r="G8">
        <v>3.2520000000000001E-3</v>
      </c>
      <c r="H8">
        <v>4.8000000000000001E-4</v>
      </c>
      <c r="I8">
        <v>4.6550000000000001E-2</v>
      </c>
      <c r="J8" s="1">
        <f t="shared" si="0"/>
        <v>0.78427999999999998</v>
      </c>
      <c r="K8" s="1">
        <f t="shared" si="1"/>
        <v>4.8000000000000001E-4</v>
      </c>
      <c r="L8" s="1">
        <f t="shared" si="2"/>
        <v>2.8908709999999997</v>
      </c>
      <c r="M8" s="1">
        <f t="shared" si="3"/>
        <v>4.6550000000000001E-2</v>
      </c>
      <c r="N8" s="1">
        <f t="shared" si="4"/>
        <v>3.2520000000000001E-3</v>
      </c>
      <c r="P8">
        <v>3.2520000000000001E-3</v>
      </c>
    </row>
    <row r="9" spans="1:16" x14ac:dyDescent="0.2">
      <c r="A9" s="3">
        <v>2007</v>
      </c>
      <c r="B9">
        <v>2.90293</v>
      </c>
      <c r="C9">
        <v>0</v>
      </c>
      <c r="D9" s="4">
        <v>4.1599999999999997E-4</v>
      </c>
      <c r="E9">
        <v>0.74407999999999996</v>
      </c>
      <c r="F9">
        <v>0</v>
      </c>
      <c r="G9">
        <v>2.6909999999999998E-3</v>
      </c>
      <c r="H9">
        <v>4.6999999999999999E-4</v>
      </c>
      <c r="I9">
        <v>3.8280000000000002E-2</v>
      </c>
      <c r="J9" s="1">
        <f t="shared" si="0"/>
        <v>0.74407999999999996</v>
      </c>
      <c r="K9" s="1">
        <f t="shared" si="1"/>
        <v>4.6999999999999999E-4</v>
      </c>
      <c r="L9" s="1">
        <f t="shared" si="2"/>
        <v>2.903346</v>
      </c>
      <c r="M9" s="1">
        <f t="shared" si="3"/>
        <v>3.8280000000000002E-2</v>
      </c>
      <c r="N9" s="1">
        <f t="shared" si="4"/>
        <v>2.6909999999999998E-3</v>
      </c>
      <c r="P9">
        <v>2.6909999999999998E-3</v>
      </c>
    </row>
    <row r="10" spans="1:16" x14ac:dyDescent="0.2">
      <c r="A10" s="3">
        <v>2008</v>
      </c>
      <c r="B10">
        <v>2.92611</v>
      </c>
      <c r="C10">
        <v>0</v>
      </c>
      <c r="D10" s="4">
        <v>3.4099999999999999E-4</v>
      </c>
      <c r="E10">
        <v>0.7056</v>
      </c>
      <c r="F10">
        <v>0</v>
      </c>
      <c r="G10">
        <v>2.114E-3</v>
      </c>
      <c r="H10">
        <v>4.8000000000000001E-4</v>
      </c>
      <c r="I10">
        <v>0.03</v>
      </c>
      <c r="J10" s="1">
        <f t="shared" si="0"/>
        <v>0.7056</v>
      </c>
      <c r="K10" s="1">
        <f t="shared" si="1"/>
        <v>4.8000000000000001E-4</v>
      </c>
      <c r="L10" s="1">
        <f t="shared" si="2"/>
        <v>2.9264510000000001</v>
      </c>
      <c r="M10" s="1">
        <f t="shared" si="3"/>
        <v>0.03</v>
      </c>
      <c r="N10" s="1">
        <f t="shared" si="4"/>
        <v>2.114E-3</v>
      </c>
      <c r="P10">
        <v>2.114E-3</v>
      </c>
    </row>
    <row r="11" spans="1:16" x14ac:dyDescent="0.2">
      <c r="A11" s="3">
        <v>2009</v>
      </c>
      <c r="B11">
        <v>2.944</v>
      </c>
      <c r="C11">
        <v>0</v>
      </c>
      <c r="D11" s="4">
        <v>2.72E-4</v>
      </c>
      <c r="E11">
        <v>0.66117999999999999</v>
      </c>
      <c r="F11">
        <v>0</v>
      </c>
      <c r="G11">
        <v>1.4760000000000001E-3</v>
      </c>
      <c r="H11">
        <v>4.8000000000000001E-4</v>
      </c>
      <c r="I11">
        <v>2.1729999999999999E-2</v>
      </c>
      <c r="J11" s="1">
        <f t="shared" si="0"/>
        <v>0.66117999999999999</v>
      </c>
      <c r="K11" s="1">
        <f t="shared" si="1"/>
        <v>4.8000000000000001E-4</v>
      </c>
      <c r="L11" s="1">
        <f t="shared" si="2"/>
        <v>2.9442719999999998</v>
      </c>
      <c r="M11" s="1">
        <f t="shared" si="3"/>
        <v>2.1729999999999999E-2</v>
      </c>
      <c r="N11" s="1">
        <f t="shared" si="4"/>
        <v>1.4760000000000001E-3</v>
      </c>
      <c r="P11">
        <v>1.4760000000000001E-3</v>
      </c>
    </row>
    <row r="12" spans="1:16" x14ac:dyDescent="0.2">
      <c r="A12" s="3">
        <v>2010</v>
      </c>
      <c r="B12">
        <v>2.9620000000000002</v>
      </c>
      <c r="C12">
        <v>0</v>
      </c>
      <c r="D12">
        <v>1.8100000000000001E-4</v>
      </c>
      <c r="E12">
        <v>0.62775999999999998</v>
      </c>
      <c r="F12">
        <v>0</v>
      </c>
      <c r="G12">
        <v>8.92E-4</v>
      </c>
      <c r="H12">
        <v>4.8000000000000001E-4</v>
      </c>
      <c r="I12">
        <v>1.345E-2</v>
      </c>
      <c r="J12" s="1">
        <f t="shared" si="0"/>
        <v>0.62775999999999998</v>
      </c>
      <c r="K12" s="1">
        <f t="shared" si="1"/>
        <v>4.8000000000000001E-4</v>
      </c>
      <c r="L12" s="1">
        <f t="shared" si="2"/>
        <v>2.9621810000000002</v>
      </c>
      <c r="M12" s="1">
        <f t="shared" si="3"/>
        <v>1.345E-2</v>
      </c>
      <c r="N12" s="1">
        <f t="shared" si="4"/>
        <v>8.92E-4</v>
      </c>
      <c r="P12">
        <v>8.92E-4</v>
      </c>
    </row>
    <row r="13" spans="1:16" x14ac:dyDescent="0.2">
      <c r="A13" s="3">
        <v>2011</v>
      </c>
      <c r="B13">
        <v>2.9820000000000002</v>
      </c>
      <c r="C13">
        <v>9.2399999999999999E-3</v>
      </c>
      <c r="D13" s="4">
        <v>1.8200000000000001E-4</v>
      </c>
      <c r="E13">
        <v>0.60472000000000004</v>
      </c>
      <c r="F13">
        <v>5.3E-3</v>
      </c>
      <c r="G13">
        <v>6.3699999999999998E-4</v>
      </c>
      <c r="H13">
        <v>4.6999999999999999E-4</v>
      </c>
      <c r="I13">
        <v>9.7099999999999999E-3</v>
      </c>
      <c r="J13" s="1">
        <f t="shared" si="0"/>
        <v>0.60472000000000004</v>
      </c>
      <c r="K13" s="1">
        <f t="shared" si="1"/>
        <v>4.6999999999999999E-4</v>
      </c>
      <c r="L13" s="1">
        <f t="shared" si="2"/>
        <v>2.9914220000000005</v>
      </c>
      <c r="M13" s="1">
        <f t="shared" si="3"/>
        <v>9.7099999999999999E-3</v>
      </c>
      <c r="N13" s="1">
        <f t="shared" si="4"/>
        <v>5.9369999999999996E-3</v>
      </c>
      <c r="P13">
        <v>5.9369999999999996E-3</v>
      </c>
    </row>
    <row r="14" spans="1:16" x14ac:dyDescent="0.2">
      <c r="A14" s="3">
        <v>2012</v>
      </c>
      <c r="B14">
        <v>2.9290799999999999</v>
      </c>
      <c r="C14">
        <v>1.0359999999999999E-2</v>
      </c>
      <c r="D14" s="4">
        <v>4.0200000000000001E-4</v>
      </c>
      <c r="E14">
        <v>0.57343999999999995</v>
      </c>
      <c r="F14">
        <v>5.3E-3</v>
      </c>
      <c r="G14">
        <v>1.3780000000000001E-3</v>
      </c>
      <c r="H14">
        <v>4.8000000000000001E-4</v>
      </c>
      <c r="I14">
        <v>2.009E-2</v>
      </c>
      <c r="J14" s="1">
        <f t="shared" si="0"/>
        <v>0.57343999999999995</v>
      </c>
      <c r="K14" s="1">
        <f t="shared" si="1"/>
        <v>4.8000000000000001E-4</v>
      </c>
      <c r="L14" s="1">
        <f t="shared" si="2"/>
        <v>2.9398419999999996</v>
      </c>
      <c r="M14" s="1">
        <f t="shared" si="3"/>
        <v>2.009E-2</v>
      </c>
      <c r="N14" s="1">
        <f t="shared" si="4"/>
        <v>6.6779999999999999E-3</v>
      </c>
      <c r="P14">
        <v>6.6779999999999999E-3</v>
      </c>
    </row>
    <row r="15" spans="1:16" x14ac:dyDescent="0.2">
      <c r="A15" s="3">
        <v>2013</v>
      </c>
      <c r="B15">
        <v>2.8586</v>
      </c>
      <c r="C15">
        <v>1.204E-2</v>
      </c>
      <c r="D15" s="4">
        <v>4.0429999999999997E-3</v>
      </c>
      <c r="E15">
        <v>0.68572</v>
      </c>
      <c r="F15">
        <v>7.9500000000000005E-3</v>
      </c>
      <c r="G15">
        <v>2.7520000000000001E-3</v>
      </c>
      <c r="H15">
        <v>4.8000000000000001E-4</v>
      </c>
      <c r="I15">
        <v>3.8899999999999997E-2</v>
      </c>
      <c r="J15" s="1">
        <f t="shared" si="0"/>
        <v>0.68572</v>
      </c>
      <c r="K15" s="1">
        <f t="shared" si="1"/>
        <v>4.8000000000000001E-4</v>
      </c>
      <c r="L15" s="1">
        <f t="shared" si="2"/>
        <v>2.8746829999999997</v>
      </c>
      <c r="M15" s="1">
        <f t="shared" si="3"/>
        <v>3.8899999999999997E-2</v>
      </c>
      <c r="N15" s="1">
        <f t="shared" si="4"/>
        <v>1.0702E-2</v>
      </c>
      <c r="P15">
        <v>1.0702E-2</v>
      </c>
    </row>
    <row r="16" spans="1:16" x14ac:dyDescent="0.2">
      <c r="A16" s="3">
        <v>2014</v>
      </c>
      <c r="B16">
        <v>2.70648</v>
      </c>
      <c r="C16">
        <v>6.7200000000000003E-3</v>
      </c>
      <c r="D16" s="4">
        <v>3.28E-4</v>
      </c>
      <c r="E16">
        <v>0.70640000000000003</v>
      </c>
      <c r="F16">
        <v>2.64E-3</v>
      </c>
      <c r="G16">
        <v>7.6800000000000002E-4</v>
      </c>
      <c r="H16">
        <v>4.8999999999999998E-4</v>
      </c>
      <c r="I16">
        <v>1.1259999999999999E-2</v>
      </c>
      <c r="J16" s="1">
        <f t="shared" si="0"/>
        <v>0.70640000000000003</v>
      </c>
      <c r="K16" s="1">
        <f t="shared" si="1"/>
        <v>4.8999999999999998E-4</v>
      </c>
      <c r="L16" s="1">
        <f t="shared" si="2"/>
        <v>2.7135280000000002</v>
      </c>
      <c r="M16" s="1">
        <f t="shared" si="3"/>
        <v>1.1259999999999999E-2</v>
      </c>
      <c r="N16" s="1">
        <f t="shared" si="4"/>
        <v>3.408E-3</v>
      </c>
      <c r="P16">
        <v>3.408E-3</v>
      </c>
    </row>
    <row r="17" spans="1:16" x14ac:dyDescent="0.2">
      <c r="A17" s="3">
        <v>2015</v>
      </c>
      <c r="B17">
        <v>2.718</v>
      </c>
      <c r="C17">
        <v>3.5000000000000003E-2</v>
      </c>
      <c r="D17" s="4">
        <v>2.9700000000000001E-4</v>
      </c>
      <c r="E17">
        <v>0.64315999999999995</v>
      </c>
      <c r="F17">
        <v>1.822E-2</v>
      </c>
      <c r="G17">
        <v>6.8800000000000003E-4</v>
      </c>
      <c r="H17">
        <v>4.6999999999999999E-4</v>
      </c>
      <c r="I17">
        <v>1.01E-2</v>
      </c>
      <c r="J17" s="1">
        <f t="shared" si="0"/>
        <v>0.64315999999999995</v>
      </c>
      <c r="K17" s="1">
        <f t="shared" si="1"/>
        <v>4.6999999999999999E-4</v>
      </c>
      <c r="L17" s="1">
        <f t="shared" si="2"/>
        <v>2.7532970000000003</v>
      </c>
      <c r="M17" s="1">
        <f t="shared" si="3"/>
        <v>1.01E-2</v>
      </c>
      <c r="N17" s="1">
        <f t="shared" si="4"/>
        <v>1.8908000000000001E-2</v>
      </c>
      <c r="P17">
        <v>1.8908000000000001E-2</v>
      </c>
    </row>
    <row r="18" spans="1:16" x14ac:dyDescent="0.2">
      <c r="A18" s="3">
        <v>2016</v>
      </c>
      <c r="B18">
        <v>2.7320000000000002</v>
      </c>
      <c r="C18">
        <v>0.03</v>
      </c>
      <c r="D18" s="4">
        <v>3.5599999999999998E-4</v>
      </c>
      <c r="E18">
        <v>0.65200000000000002</v>
      </c>
      <c r="F18">
        <v>1.5959999999999998E-2</v>
      </c>
      <c r="G18">
        <v>8.3600000000000005E-4</v>
      </c>
      <c r="H18">
        <v>4.8999999999999998E-4</v>
      </c>
      <c r="I18">
        <v>1.227E-2</v>
      </c>
      <c r="J18" s="1">
        <f t="shared" si="0"/>
        <v>0.65200000000000002</v>
      </c>
      <c r="K18" s="1">
        <f t="shared" si="1"/>
        <v>4.8999999999999998E-4</v>
      </c>
      <c r="L18" s="1">
        <f t="shared" si="2"/>
        <v>2.762356</v>
      </c>
      <c r="M18" s="1">
        <f t="shared" si="3"/>
        <v>1.227E-2</v>
      </c>
      <c r="N18" s="1">
        <f t="shared" si="4"/>
        <v>1.6795999999999998E-2</v>
      </c>
      <c r="P18">
        <v>1.6795999999999998E-2</v>
      </c>
    </row>
    <row r="19" spans="1:16" x14ac:dyDescent="0.2">
      <c r="A19" s="3">
        <v>2017</v>
      </c>
      <c r="B19">
        <v>2.5419999999999998</v>
      </c>
      <c r="C19">
        <v>2.7E-2</v>
      </c>
      <c r="D19" s="4">
        <v>4.2400000000000001E-4</v>
      </c>
      <c r="E19">
        <v>0.52400000000000002</v>
      </c>
      <c r="F19">
        <v>1.5959999999999998E-2</v>
      </c>
      <c r="G19">
        <v>1.034E-3</v>
      </c>
      <c r="H19">
        <v>4.8000000000000001E-4</v>
      </c>
      <c r="I19">
        <v>1.472E-2</v>
      </c>
      <c r="J19" s="1">
        <f t="shared" si="0"/>
        <v>0.52400000000000002</v>
      </c>
      <c r="K19" s="1">
        <f t="shared" si="1"/>
        <v>4.8000000000000001E-4</v>
      </c>
      <c r="L19" s="1">
        <f t="shared" si="2"/>
        <v>2.5694240000000002</v>
      </c>
      <c r="M19" s="1">
        <f t="shared" si="3"/>
        <v>1.472E-2</v>
      </c>
      <c r="N19" s="1">
        <f t="shared" si="4"/>
        <v>1.6993999999999999E-2</v>
      </c>
      <c r="P19">
        <v>1.6993999999999999E-2</v>
      </c>
    </row>
    <row r="20" spans="1:16" x14ac:dyDescent="0.2">
      <c r="A20" s="3">
        <v>2018</v>
      </c>
      <c r="B20">
        <v>2.4609999999999999</v>
      </c>
      <c r="C20">
        <v>6.4400000000000004E-3</v>
      </c>
      <c r="D20" s="4">
        <v>2.32E-4</v>
      </c>
      <c r="E20">
        <v>0.501</v>
      </c>
      <c r="F20">
        <v>2.64E-3</v>
      </c>
      <c r="G20">
        <v>4.5100000000000001E-4</v>
      </c>
      <c r="H20">
        <v>4.6999999999999999E-4</v>
      </c>
      <c r="I20">
        <v>6.77E-3</v>
      </c>
      <c r="J20" s="1">
        <f t="shared" si="0"/>
        <v>0.501</v>
      </c>
      <c r="K20" s="1">
        <f t="shared" si="1"/>
        <v>4.6999999999999999E-4</v>
      </c>
      <c r="L20" s="1">
        <f t="shared" si="2"/>
        <v>2.4676719999999999</v>
      </c>
      <c r="M20" s="1">
        <f t="shared" si="3"/>
        <v>6.77E-3</v>
      </c>
      <c r="N20" s="1">
        <f t="shared" si="4"/>
        <v>3.091E-3</v>
      </c>
      <c r="P20">
        <v>3.091E-3</v>
      </c>
    </row>
    <row r="21" spans="1:16" x14ac:dyDescent="0.2">
      <c r="A21" s="3">
        <v>2019</v>
      </c>
      <c r="B21">
        <v>2.3809999999999998</v>
      </c>
      <c r="C21">
        <v>5.0400000000000002E-3</v>
      </c>
      <c r="D21" s="4">
        <v>4.1199999999999999E-4</v>
      </c>
      <c r="E21">
        <v>0.44800000000000001</v>
      </c>
      <c r="F21">
        <v>2.64E-3</v>
      </c>
      <c r="G21">
        <v>8.6799999999999996E-4</v>
      </c>
      <c r="H21">
        <v>4.6000000000000001E-4</v>
      </c>
      <c r="I21">
        <v>1.26E-2</v>
      </c>
      <c r="J21" s="1">
        <f t="shared" si="0"/>
        <v>0.44800000000000001</v>
      </c>
      <c r="K21" s="1">
        <f t="shared" si="1"/>
        <v>4.6000000000000001E-4</v>
      </c>
      <c r="L21" s="1">
        <f t="shared" si="2"/>
        <v>2.3864519999999998</v>
      </c>
      <c r="M21" s="1">
        <f t="shared" si="3"/>
        <v>1.26E-2</v>
      </c>
      <c r="N21" s="1">
        <f t="shared" si="4"/>
        <v>3.5079999999999998E-3</v>
      </c>
      <c r="P21">
        <v>3.5079999999999998E-3</v>
      </c>
    </row>
    <row r="22" spans="1:16" x14ac:dyDescent="0.2">
      <c r="A22" s="3">
        <v>2020</v>
      </c>
      <c r="B22">
        <v>2.3029999999999999</v>
      </c>
      <c r="C22">
        <v>6.1599999999999997E-3</v>
      </c>
      <c r="D22" s="4">
        <v>4.516E-3</v>
      </c>
      <c r="E22">
        <v>0.44500000000000001</v>
      </c>
      <c r="F22">
        <v>2.64E-3</v>
      </c>
      <c r="G22">
        <v>8.8310000000000003E-3</v>
      </c>
      <c r="H22">
        <v>4.6000000000000001E-4</v>
      </c>
      <c r="I22">
        <v>0.12329</v>
      </c>
      <c r="J22" s="1">
        <f t="shared" si="0"/>
        <v>0.44500000000000001</v>
      </c>
      <c r="K22" s="1">
        <f t="shared" si="1"/>
        <v>4.6000000000000001E-4</v>
      </c>
      <c r="L22" s="1">
        <f t="shared" si="2"/>
        <v>2.3136760000000001</v>
      </c>
      <c r="M22" s="1">
        <f t="shared" si="3"/>
        <v>0.12329</v>
      </c>
      <c r="N22" s="1">
        <f t="shared" si="4"/>
        <v>1.1471E-2</v>
      </c>
      <c r="P22">
        <v>1.1471E-2</v>
      </c>
    </row>
    <row r="23" spans="1:16" x14ac:dyDescent="0.2">
      <c r="A23" s="3">
        <v>2021</v>
      </c>
      <c r="B23">
        <v>2.2378</v>
      </c>
      <c r="C23">
        <v>8.3800000000000003E-3</v>
      </c>
      <c r="D23" s="4">
        <v>2.34E-4</v>
      </c>
      <c r="E23">
        <v>0.49299999999999999</v>
      </c>
      <c r="F23">
        <v>5.3E-3</v>
      </c>
      <c r="G23">
        <v>2.6499999999999999E-4</v>
      </c>
      <c r="H23">
        <v>4.4999999999999999E-4</v>
      </c>
      <c r="I23">
        <v>5.7099999999999998E-3</v>
      </c>
      <c r="J23" s="1">
        <f t="shared" si="0"/>
        <v>0.49299999999999999</v>
      </c>
      <c r="K23" s="1">
        <f t="shared" si="1"/>
        <v>4.4999999999999999E-4</v>
      </c>
      <c r="L23" s="1">
        <f t="shared" si="2"/>
        <v>2.2464139999999997</v>
      </c>
      <c r="M23" s="1">
        <f t="shared" si="3"/>
        <v>5.7099999999999998E-3</v>
      </c>
      <c r="N23" s="1">
        <f t="shared" si="4"/>
        <v>5.5649999999999996E-3</v>
      </c>
      <c r="P23">
        <v>5.5649999999999996E-3</v>
      </c>
    </row>
    <row r="24" spans="1:16" x14ac:dyDescent="0.2">
      <c r="A24" s="3">
        <v>2022</v>
      </c>
      <c r="B24">
        <v>2.1623999999999999</v>
      </c>
      <c r="C24">
        <v>8.9999999999999993E-3</v>
      </c>
      <c r="D24">
        <v>1.26E-4</v>
      </c>
      <c r="E24">
        <v>0.503</v>
      </c>
      <c r="F24">
        <v>5.3E-3</v>
      </c>
      <c r="G24">
        <v>2.3900000000000001E-4</v>
      </c>
      <c r="H24">
        <v>4.2999999999999999E-4</v>
      </c>
      <c r="I24">
        <v>1.1860000000000001E-2</v>
      </c>
      <c r="J24" s="1">
        <f t="shared" si="0"/>
        <v>0.503</v>
      </c>
      <c r="K24" s="1">
        <f t="shared" si="1"/>
        <v>4.2999999999999999E-4</v>
      </c>
      <c r="L24" s="1">
        <f t="shared" si="2"/>
        <v>2.1715259999999996</v>
      </c>
      <c r="M24" s="1">
        <f t="shared" si="3"/>
        <v>1.1860000000000001E-2</v>
      </c>
      <c r="N24" s="1">
        <f t="shared" si="4"/>
        <v>5.5389999999999997E-3</v>
      </c>
      <c r="P24">
        <v>5.5389999999999997E-3</v>
      </c>
    </row>
    <row r="25" spans="1:16" x14ac:dyDescent="0.2">
      <c r="A25" s="3"/>
      <c r="D25" s="4"/>
    </row>
    <row r="26" spans="1:16" x14ac:dyDescent="0.2">
      <c r="A26" s="3"/>
      <c r="D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CSC-GHG_emissions-April2024_to_</vt:lpstr>
      <vt:lpstr>bulgaria_inventory_lulucf</vt:lpstr>
      <vt:lpstr>bulgaria_inventory_ippu</vt:lpstr>
      <vt:lpstr>bulgaria_inventory_agrc</vt:lpstr>
      <vt:lpstr>bulgaria_inventory_waste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Robledo Lara</cp:lastModifiedBy>
  <dcterms:created xsi:type="dcterms:W3CDTF">2025-12-02T17:32:54Z</dcterms:created>
  <dcterms:modified xsi:type="dcterms:W3CDTF">2025-12-04T18:23:33Z</dcterms:modified>
</cp:coreProperties>
</file>